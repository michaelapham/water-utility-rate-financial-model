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5C0412B0-82E7-478A-A6CB-409D0658F8BA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Dashboard" sheetId="5" r:id="rId1"/>
    <sheet name="Inputs" sheetId="1" r:id="rId2"/>
    <sheet name="Revenue_Model" sheetId="2" r:id="rId3"/>
    <sheet name="Expense_Model" sheetId="3" r:id="rId4"/>
    <sheet name="Rate_Sufficiency_Analysis" sheetId="4" r:id="rId5"/>
  </sheets>
  <definedNames>
    <definedName name="base_chargeRS1">Inputs!$C$14:$G$14</definedName>
    <definedName name="base_chargeRS12027">Inputs!$D$14:$D$14</definedName>
    <definedName name="base_chargeRS2">Inputs!$C$24:$G$24</definedName>
    <definedName name="current_dscr">Rate_Sufficiency_Analysis!$B$12:$B$12</definedName>
    <definedName name="current_monthly_bill">Rate_Sufficiency_Analysis!$E$16:$E$16</definedName>
    <definedName name="currentyear">Inputs!$C$11:$C$11</definedName>
    <definedName name="debt_service_values">Inputs!$X$12:$AB$12</definedName>
    <definedName name="expenses_value">Inputs!$R$12:$R$18</definedName>
    <definedName name="inflation_rate">Inputs!$E$7:$E$7</definedName>
    <definedName name="num_accounts">Inputs!$B$8:$B$8</definedName>
    <definedName name="num_accountsRS1">Inputs!$A$16:$A$16</definedName>
    <definedName name="num_accountsRS2">Inputs!$A$26:$A$26</definedName>
    <definedName name="pop_growth_rate">Inputs!$E$8:$E$8</definedName>
    <definedName name="proposed_dscr">Rate_Sufficiency_Analysis!$C$12:$C$12</definedName>
    <definedName name="proposed_monthly_bill">Rate_Sufficiency_Analysis!$E$20:$E$20</definedName>
    <definedName name="rate_structure_1">Inputs!$A$14:$A$14</definedName>
    <definedName name="rate_structure_2">Inputs!$A$24:$A$24</definedName>
    <definedName name="RS1_base_charge2026">Inputs!$C$14:$C$14</definedName>
    <definedName name="RS1_block_consumption2026">Inputs!$K$13:$K$15</definedName>
    <definedName name="RS1_block_consumption2027">Inputs!$L$13:$L$15</definedName>
    <definedName name="RS1_block_consumption2028">Inputs!$M$13:$M$15</definedName>
    <definedName name="RS1_block_consumption2029">Inputs!$N$13:$N$15</definedName>
    <definedName name="RS1_block_consumption2030">Inputs!$O$13:$O$15</definedName>
    <definedName name="RS1_num_accounts">Revenue_Model!$B$6:$F$6</definedName>
    <definedName name="RS1_num_accounts_currentyear">Inputs!$A$16:$A$16</definedName>
    <definedName name="RS1_vrates2026">Inputs!$C$19:$C$21</definedName>
    <definedName name="RS1_vrates2027">Inputs!$D$19:$D$21</definedName>
    <definedName name="RS1_vrates2028">Inputs!$E$19:$E$21</definedName>
    <definedName name="RS1_vrates2029">Inputs!$F$19:$F$21</definedName>
    <definedName name="RS1_vrates2030">Inputs!$G$19:$G$21</definedName>
    <definedName name="RS2_base_charge2026">Inputs!$C$24:$C$24</definedName>
    <definedName name="RS2_base_charge2027">Inputs!$D$24:$D$24</definedName>
    <definedName name="RS2_block_consumption2026">Inputs!$K$18:$K$20</definedName>
    <definedName name="RS2_block_consumption2027">Inputs!$L$18:$L$20</definedName>
    <definedName name="RS2_block_consumption2028">Inputs!$M$18:$M$20</definedName>
    <definedName name="RS2_block_consumption2029">Inputs!$N$18:$N$20</definedName>
    <definedName name="RS2_block_consumption2030">Inputs!$O$18:$O$20</definedName>
    <definedName name="RS2_num_accounts">Revenue_Model!$B$15:$F$15</definedName>
    <definedName name="RS2_num_accounts_currentyear">Inputs!$A$26:$A$26</definedName>
    <definedName name="RS2_vrates2026">Inputs!$C$29:$C$31</definedName>
    <definedName name="RS2_vrates2027">Inputs!$D$29:$D$31</definedName>
    <definedName name="RS2_vrates2028">Inputs!$E$29:$E$31</definedName>
    <definedName name="RS2_vrates2029">Inputs!$F$29:$F$31</definedName>
    <definedName name="RS2_vrates2030">Inputs!$G$29:$G$31</definedName>
    <definedName name="target_dscr">Inputs!$E$9:$E$9</definedName>
    <definedName name="total_cost_of_service_row">Expense_Model!$B$18:$F$18</definedName>
    <definedName name="total_operating_expenses">Expense_Model!$B$12:$F$12</definedName>
    <definedName name="total_operating_revenue_row">Revenue_Model!$B$22:$F$22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5" i="4" l="1" a="1"/>
  <c r="AM5" i="4"/>
  <c r="AN5" i="4" a="1"/>
  <c r="AN5" i="4"/>
  <c r="AO5" i="4" a="1"/>
  <c r="AO5" i="4"/>
  <c r="AP5" i="4" a="1"/>
  <c r="AP5" i="4"/>
  <c r="AL5" i="4" a="1"/>
  <c r="AL5" i="4"/>
  <c r="B21" i="4" a="1"/>
  <c r="B21" i="4"/>
  <c r="B17" i="4" a="1"/>
  <c r="B17" i="4"/>
  <c r="C21" i="4" a="1"/>
  <c r="C21" i="4"/>
  <c r="C20" i="4" a="1"/>
  <c r="C20" i="4"/>
  <c r="B20" i="4" a="1"/>
  <c r="B20" i="4"/>
  <c r="D21" i="4"/>
  <c r="A21" i="4" a="1"/>
  <c r="A21" i="4" s="1"/>
  <c r="D20" i="4"/>
  <c r="A20" i="4" a="1"/>
  <c r="A20" i="4" s="1"/>
  <c r="B9" i="1"/>
  <c r="A17" i="4" a="1"/>
  <c r="A17" i="4"/>
  <c r="A16" i="4" a="1"/>
  <c r="A16" i="4"/>
  <c r="C17" i="4" a="1"/>
  <c r="C17" i="4" s="1"/>
  <c r="D17" i="4" s="1"/>
  <c r="C16" i="4" a="1"/>
  <c r="C16" i="4" s="1"/>
  <c r="N17" i="2" a="1"/>
  <c r="N17" i="2"/>
  <c r="M17" i="2" a="1"/>
  <c r="M17" i="2"/>
  <c r="L17" i="2" a="1"/>
  <c r="L17" i="2"/>
  <c r="K17" i="2" a="1"/>
  <c r="K17" i="2"/>
  <c r="J17" i="2" a="1"/>
  <c r="J17" i="2"/>
  <c r="N8" i="2" a="1"/>
  <c r="N8" i="2"/>
  <c r="M8" i="2" a="1"/>
  <c r="M8" i="2"/>
  <c r="L8" i="2" a="1"/>
  <c r="L8" i="2"/>
  <c r="K8" i="2" a="1"/>
  <c r="K8" i="2"/>
  <c r="J8" i="2" a="1"/>
  <c r="J8" i="2"/>
  <c r="F17" i="2" a="1"/>
  <c r="F17" i="2"/>
  <c r="E17" i="2" a="1"/>
  <c r="E17" i="2"/>
  <c r="D17" i="2" a="1"/>
  <c r="D17" i="2"/>
  <c r="C17" i="2" a="1"/>
  <c r="C17" i="2"/>
  <c r="B17" i="2" a="1"/>
  <c r="B17" i="2"/>
  <c r="F8" i="2" a="1"/>
  <c r="F8" i="2"/>
  <c r="E8" i="2" a="1"/>
  <c r="E8" i="2"/>
  <c r="D8" i="2" a="1"/>
  <c r="D8" i="2"/>
  <c r="C8" i="2" a="1"/>
  <c r="C8" i="2"/>
  <c r="B8" i="2" a="1"/>
  <c r="B8" i="2"/>
  <c r="B16" i="4" a="1"/>
  <c r="B16" i="4"/>
  <c r="D16" i="4" s="1"/>
  <c r="B5" i="3" a="1"/>
  <c r="B5" i="3"/>
  <c r="L19" i="1" a="1"/>
  <c r="L19" i="1"/>
  <c r="M19" i="1" a="1"/>
  <c r="M19" i="1"/>
  <c r="N19" i="1" a="1"/>
  <c r="N19" i="1"/>
  <c r="O19" i="1" a="1"/>
  <c r="O19" i="1"/>
  <c r="L20" i="1" a="1"/>
  <c r="L20" i="1"/>
  <c r="M20" i="1" a="1"/>
  <c r="M20" i="1"/>
  <c r="N20" i="1" a="1"/>
  <c r="N20" i="1"/>
  <c r="O20" i="1" a="1"/>
  <c r="O20" i="1"/>
  <c r="L18" i="1" a="1"/>
  <c r="L18" i="1"/>
  <c r="L13" i="1" a="1"/>
  <c r="L13" i="1"/>
  <c r="L14" i="1" a="1"/>
  <c r="L14" i="1"/>
  <c r="M14" i="1" a="1"/>
  <c r="M14" i="1"/>
  <c r="N14" i="1" a="1"/>
  <c r="N14" i="1"/>
  <c r="O14" i="1" a="1"/>
  <c r="O14" i="1"/>
  <c r="L15" i="1" a="1"/>
  <c r="L15" i="1"/>
  <c r="M15" i="1" a="1"/>
  <c r="M15" i="1"/>
  <c r="N15" i="1" a="1"/>
  <c r="N15" i="1"/>
  <c r="O15" i="1" a="1"/>
  <c r="O15" i="1"/>
  <c r="M13" i="1" a="1"/>
  <c r="M13" i="1"/>
  <c r="N13" i="1" a="1"/>
  <c r="N13" i="1"/>
  <c r="O13" i="1" a="1"/>
  <c r="O13" i="1"/>
  <c r="K17" i="1" a="1"/>
  <c r="K17" i="1" s="1"/>
  <c r="L17" i="1" s="1"/>
  <c r="M17" i="1" s="1"/>
  <c r="N17" i="1" s="1"/>
  <c r="O17" i="1" s="1"/>
  <c r="K12" i="1" a="1"/>
  <c r="K12" i="1" s="1"/>
  <c r="L12" i="1" s="1"/>
  <c r="M12" i="1" s="1"/>
  <c r="N12" i="1" s="1"/>
  <c r="O12" i="1" s="1"/>
  <c r="A26" i="1"/>
  <c r="J6" i="2" a="1"/>
  <c r="J6" i="2"/>
  <c r="K6" i="2" s="1" a="1"/>
  <c r="K6" i="2" s="1"/>
  <c r="L6" i="2" s="1" a="1"/>
  <c r="L6" i="2" s="1"/>
  <c r="M6" i="2" s="1" a="1"/>
  <c r="M6" i="2" s="1"/>
  <c r="N6" i="2" s="1" a="1"/>
  <c r="N6" i="2" s="1"/>
  <c r="J15" i="2" a="1"/>
  <c r="J15" i="2" s="1"/>
  <c r="K15" i="2" s="1" a="1"/>
  <c r="K15" i="2" s="1"/>
  <c r="L15" i="2" s="1" a="1"/>
  <c r="L15" i="2" s="1"/>
  <c r="M15" i="2" s="1" a="1"/>
  <c r="M15" i="2" s="1"/>
  <c r="N15" i="2" s="1" a="1"/>
  <c r="N15" i="2" s="1"/>
  <c r="J14" i="2" a="1"/>
  <c r="J14" i="2" s="1"/>
  <c r="K14" i="2" s="1"/>
  <c r="L14" i="2" s="1"/>
  <c r="M14" i="2" s="1"/>
  <c r="N14" i="2" s="1"/>
  <c r="J5" i="2" a="1"/>
  <c r="J5" i="2" s="1"/>
  <c r="K5" i="2" s="1"/>
  <c r="L5" i="2" s="1"/>
  <c r="M5" i="2" s="1"/>
  <c r="N5" i="2" s="1"/>
  <c r="AB12" i="1"/>
  <c r="AA12" i="1"/>
  <c r="Z12" i="1"/>
  <c r="Y12" i="1"/>
  <c r="X12" i="1"/>
  <c r="B16" i="3" a="1"/>
  <c r="B16" i="3"/>
  <c r="T14" i="1"/>
  <c r="T15" i="1"/>
  <c r="T16" i="1"/>
  <c r="T17" i="1"/>
  <c r="Y11" i="1"/>
  <c r="Z11" i="1" s="1"/>
  <c r="AA11" i="1" s="1"/>
  <c r="AB11" i="1" s="1"/>
  <c r="B9" i="4" a="1"/>
  <c r="B9" i="4" s="1"/>
  <c r="C9" i="4" s="1"/>
  <c r="D9" i="4" s="1"/>
  <c r="E9" i="4" s="1"/>
  <c r="F9" i="4" s="1"/>
  <c r="B3" i="4" a="1"/>
  <c r="B3" i="4" s="1"/>
  <c r="C3" i="4" s="1"/>
  <c r="D3" i="4" s="1"/>
  <c r="E3" i="4" s="1"/>
  <c r="F3" i="4" s="1"/>
  <c r="B14" i="2" a="1"/>
  <c r="B14" i="2"/>
  <c r="B5" i="2" a="1"/>
  <c r="B5" i="2"/>
  <c r="C15" i="3"/>
  <c r="D15" i="3" s="1"/>
  <c r="E15" i="3" s="1"/>
  <c r="F15" i="3" s="1"/>
  <c r="B12" i="3"/>
  <c r="C6" i="3" a="1"/>
  <c r="C6" i="3"/>
  <c r="D6" i="3" a="1"/>
  <c r="D6" i="3"/>
  <c r="E6" i="3" a="1"/>
  <c r="E6" i="3"/>
  <c r="F6" i="3" a="1"/>
  <c r="F6" i="3"/>
  <c r="C7" i="3" a="1"/>
  <c r="C7" i="3"/>
  <c r="D7" i="3" a="1"/>
  <c r="D7" i="3"/>
  <c r="E7" i="3" a="1"/>
  <c r="E7" i="3"/>
  <c r="F7" i="3" a="1"/>
  <c r="F7" i="3"/>
  <c r="C8" i="3" a="1"/>
  <c r="C8" i="3"/>
  <c r="D8" i="3" a="1"/>
  <c r="D8" i="3"/>
  <c r="E8" i="3" a="1"/>
  <c r="E8" i="3"/>
  <c r="F8" i="3" a="1"/>
  <c r="F8" i="3"/>
  <c r="C9" i="3" a="1"/>
  <c r="C9" i="3"/>
  <c r="D9" i="3" a="1"/>
  <c r="D9" i="3"/>
  <c r="E9" i="3" a="1"/>
  <c r="E9" i="3"/>
  <c r="F9" i="3" a="1"/>
  <c r="F9" i="3"/>
  <c r="C10" i="3" a="1"/>
  <c r="C10" i="3"/>
  <c r="D10" i="3" a="1"/>
  <c r="D10" i="3"/>
  <c r="E10" i="3" a="1"/>
  <c r="E10" i="3"/>
  <c r="F10" i="3" a="1"/>
  <c r="F10" i="3"/>
  <c r="C11" i="3" a="1"/>
  <c r="C11" i="3"/>
  <c r="D11" i="3" a="1"/>
  <c r="D11" i="3"/>
  <c r="E11" i="3" a="1"/>
  <c r="E11" i="3"/>
  <c r="F11" i="3" a="1"/>
  <c r="F11" i="3"/>
  <c r="C5" i="3" a="1"/>
  <c r="C5" i="3"/>
  <c r="C4" i="3"/>
  <c r="D4" i="3" s="1"/>
  <c r="E4" i="3" s="1"/>
  <c r="F4" i="3" s="1"/>
  <c r="B15" i="2" a="1"/>
  <c r="B15" i="2"/>
  <c r="B6" i="2" a="1"/>
  <c r="B6" i="2"/>
  <c r="C14" i="2"/>
  <c r="D14" i="2" s="1"/>
  <c r="E14" i="2" s="1"/>
  <c r="F14" i="2" s="1"/>
  <c r="C5" i="2"/>
  <c r="D5" i="2" s="1"/>
  <c r="E5" i="2" s="1"/>
  <c r="F5" i="2" s="1"/>
  <c r="I18" i="1" a="1"/>
  <c r="I18" i="1"/>
  <c r="I13" i="1" a="1"/>
  <c r="I13" i="1"/>
  <c r="D11" i="1"/>
  <c r="E11" i="1" s="1"/>
  <c r="F11" i="1" s="1"/>
  <c r="G11" i="1" s="1"/>
  <c r="E16" i="4" l="1" a="1"/>
  <c r="E16" i="4" s="1"/>
  <c r="B3" i="5" s="1" a="1"/>
  <c r="B3" i="5" s="1"/>
  <c r="E20" i="4" a="1"/>
  <c r="E20" i="4" s="1"/>
  <c r="E3" i="5" s="1" a="1"/>
  <c r="E3" i="5" s="1"/>
  <c r="M18" i="1" a="1"/>
  <c r="M18" i="1" s="1"/>
  <c r="C15" i="2" a="1"/>
  <c r="C15" i="2" s="1"/>
  <c r="C6" i="2" a="1"/>
  <c r="C6" i="2" s="1"/>
  <c r="C12" i="3"/>
  <c r="C18" i="3" s="1"/>
  <c r="D5" i="3" a="1"/>
  <c r="D5" i="3" s="1"/>
  <c r="N18" i="1" l="1" a="1"/>
  <c r="N18" i="1" s="1"/>
  <c r="D15" i="2" a="1"/>
  <c r="D15" i="2" s="1"/>
  <c r="D6" i="2" a="1"/>
  <c r="D6" i="2" s="1"/>
  <c r="D12" i="3"/>
  <c r="D18" i="3" s="1"/>
  <c r="E5" i="3" a="1"/>
  <c r="E5" i="3" s="1"/>
  <c r="O18" i="1" l="1" a="1"/>
  <c r="O18" i="1" s="1"/>
  <c r="E6" i="2" a="1"/>
  <c r="E6" i="2" s="1"/>
  <c r="E15" i="2" a="1"/>
  <c r="E15" i="2" s="1"/>
  <c r="E12" i="3"/>
  <c r="E18" i="3" s="1"/>
  <c r="F5" i="3" a="1"/>
  <c r="F5" i="3" s="1"/>
  <c r="F12" i="3" s="1"/>
  <c r="F18" i="3" s="1"/>
  <c r="F6" i="2" l="1" a="1"/>
  <c r="F6" i="2" s="1"/>
  <c r="J7" i="2" s="1" a="1"/>
  <c r="J7" i="2" s="1"/>
  <c r="B7" i="2" a="1"/>
  <c r="F15" i="2" a="1"/>
  <c r="F15" i="2" s="1"/>
  <c r="J16" i="2" s="1" a="1"/>
  <c r="J16" i="2" s="1"/>
  <c r="B16" i="2" a="1"/>
  <c r="B18" i="3"/>
  <c r="B5" i="4" a="1"/>
  <c r="B11" i="4" a="1"/>
  <c r="C11" i="2" l="1"/>
  <c r="D11" i="2"/>
  <c r="E11" i="2"/>
  <c r="F11" i="2"/>
  <c r="B7" i="2"/>
  <c r="B11" i="2" s="1"/>
  <c r="N11" i="2"/>
  <c r="M11" i="2"/>
  <c r="L11" i="2"/>
  <c r="K11" i="2"/>
  <c r="J11" i="2"/>
  <c r="C20" i="2"/>
  <c r="C22" i="2" s="1"/>
  <c r="D20" i="2"/>
  <c r="D22" i="2" s="1"/>
  <c r="E20" i="2"/>
  <c r="E22" i="2" s="1"/>
  <c r="F20" i="2"/>
  <c r="F22" i="2" s="1"/>
  <c r="B16" i="2"/>
  <c r="B20" i="2" s="1"/>
  <c r="B22" i="2" s="1"/>
  <c r="B4" i="4" s="1" a="1"/>
  <c r="B4" i="4" s="1"/>
  <c r="N20" i="2"/>
  <c r="N22" i="2" s="1"/>
  <c r="M20" i="2"/>
  <c r="M22" i="2" s="1"/>
  <c r="L20" i="2"/>
  <c r="L22" i="2" s="1"/>
  <c r="K20" i="2"/>
  <c r="K22" i="2" s="1"/>
  <c r="J20" i="2"/>
  <c r="J22" i="2" s="1"/>
  <c r="B11" i="4"/>
  <c r="B5" i="4"/>
  <c r="B10" i="4" l="1" a="1"/>
  <c r="W4" i="2"/>
  <c r="X4" i="2"/>
  <c r="Y4" i="2"/>
  <c r="Z4" i="2"/>
  <c r="B6" i="4" l="1"/>
  <c r="B7" i="4" s="1"/>
  <c r="C6" i="4"/>
  <c r="D6" i="4"/>
  <c r="D12" i="4" s="1"/>
  <c r="D13" i="4" s="1" a="1"/>
  <c r="D13" i="4" s="1"/>
  <c r="E6" i="4"/>
  <c r="E12" i="4" s="1"/>
  <c r="E13" i="4" s="1" a="1"/>
  <c r="E13" i="4" s="1"/>
  <c r="F6" i="4"/>
  <c r="F12" i="4" s="1"/>
  <c r="F13" i="4" s="1" a="1"/>
  <c r="F13" i="4" s="1"/>
  <c r="B10" i="4"/>
  <c r="B12" i="4" s="1"/>
  <c r="C12" i="4"/>
  <c r="C13" i="4" l="1" a="1"/>
  <c r="C13" i="4" s="1"/>
  <c r="E7" i="5" a="1"/>
  <c r="E7" i="5" s="1"/>
  <c r="B13" i="4" a="1"/>
  <c r="B13" i="4" s="1"/>
  <c r="B7" i="5" a="1"/>
  <c r="B7" i="5" s="1"/>
  <c r="C7" i="4"/>
  <c r="D7" i="4" s="1"/>
  <c r="E7" i="4" s="1"/>
  <c r="F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<sst xmlns="http://schemas.openxmlformats.org/spreadsheetml/2006/main" count="138" uniqueCount="77">
  <si>
    <t>Stringtown Water Utility Summary Dashboard</t>
  </si>
  <si>
    <t>Current Average Monthly Bill</t>
  </si>
  <si>
    <t>Proposed Average Monthly Bill</t>
  </si>
  <si>
    <t>Current DSCR</t>
  </si>
  <si>
    <t>Proposed DSCR</t>
  </si>
  <si>
    <r>
      <rPr>
        <b/>
        <sz val="11"/>
        <color rgb="FF000000"/>
        <rFont val="Calibri"/>
        <scheme val="minor"/>
      </rPr>
      <t>Financial Summary:</t>
    </r>
    <r>
      <rPr>
        <sz val="11"/>
        <color rgb="FF000000"/>
        <rFont val="Calibri"/>
        <scheme val="minor"/>
      </rPr>
      <t xml:space="preserve"> At current rates, the City of Stringtown's water utility generates a Debt Service Coverage Ratio of 0.73, which is below the 1.15 minimum threshold required by lenders and bond convenants. The utility is currently under-collecting relative to its full cost of service, creating structural revenue gap that grows over the 5-year planning horizon due to inflation and escalation of operating expenses.</t>
    </r>
  </si>
  <si>
    <r>
      <rPr>
        <b/>
        <sz val="11"/>
        <color rgb="FF000000"/>
        <rFont val="Calibri"/>
        <scheme val="minor"/>
      </rPr>
      <t>Rate Recommendation:</t>
    </r>
    <r>
      <rPr>
        <sz val="11"/>
        <color rgb="FF000000"/>
        <rFont val="Calibri"/>
        <scheme val="minor"/>
      </rPr>
      <t xml:space="preserve"> A rate adjustment of approximately 8% applied across both residential and commercial customer classes is recommended. Under proposed rates, the average residential monthly bill increases from $32.75 to $35.75 and the average commercial bill increases from $95.48 to $100.48, bringing the system-wide average monthly bill from $43.99 to $47.35. This modest adjustment achieves a DSCR of 1.31, restores financial sufficiency, and positions the utility to meet its debt obligations and fund any necessary capital improvement plans throughout 2030.</t>
    </r>
  </si>
  <si>
    <t>Affordability impact is minimal: the proposed residential bill of $35.75/month represents approximately 1.1% of median household income for a community of this size, which is well within the EPA's 2.5% affordability threshold.</t>
  </si>
  <si>
    <t>Water Utility Financial Model</t>
  </si>
  <si>
    <t>5-Year Rate Sufficiency Analysis | 2026-2030</t>
  </si>
  <si>
    <t>Inputs: Rates, Accounts, Water Consumption</t>
  </si>
  <si>
    <t>Utility:</t>
  </si>
  <si>
    <t>Stringtown, TX</t>
  </si>
  <si>
    <t>Assumptions:</t>
  </si>
  <si>
    <t>Population:</t>
  </si>
  <si>
    <t>Inflation Rate:</t>
  </si>
  <si>
    <t>Number of Accounts:</t>
  </si>
  <si>
    <t>Population Growth Rate:</t>
  </si>
  <si>
    <t>Annual Water Consumption:</t>
  </si>
  <si>
    <t>Target DSCR:</t>
  </si>
  <si>
    <t>Rate Structure(s)</t>
  </si>
  <si>
    <t>Year:</t>
  </si>
  <si>
    <t>Monthly Consumption Over Included Amount</t>
  </si>
  <si>
    <t>Annual Operating Expenses</t>
  </si>
  <si>
    <t>Annual Debt Service</t>
  </si>
  <si>
    <t>Year</t>
  </si>
  <si>
    <t>Rate Structure 1:</t>
  </si>
  <si>
    <t>Salaries</t>
  </si>
  <si>
    <t>Block 1:</t>
  </si>
  <si>
    <t>Chemicals/Treatments</t>
  </si>
  <si>
    <t>Residential water, inside</t>
  </si>
  <si>
    <t>Base Charge (monthly):</t>
  </si>
  <si>
    <t>Block 2:</t>
  </si>
  <si>
    <t>Energy and Utilities</t>
  </si>
  <si>
    <t>Consumption included with base charge (gallons/month):</t>
  </si>
  <si>
    <t>Block 3:</t>
  </si>
  <si>
    <t>Maintenance &amp; Repairs</t>
  </si>
  <si>
    <t>Administrative</t>
  </si>
  <si>
    <t>Rate Structure 2:</t>
  </si>
  <si>
    <t>Cash Reserves</t>
  </si>
  <si>
    <t>Block cutoffs, starts at 2000</t>
  </si>
  <si>
    <t>Other</t>
  </si>
  <si>
    <t>Block rate 1 ($/1000 gal)</t>
  </si>
  <si>
    <t>Block rate 2 ($/1000 gal)</t>
  </si>
  <si>
    <t>Block rate 3 ($/1000 gal)</t>
  </si>
  <si>
    <t>*In 1000 gallons/month, excluding included amount</t>
  </si>
  <si>
    <t>Commerical, inside</t>
  </si>
  <si>
    <t>Revenue Projections | 2026 - 2030</t>
  </si>
  <si>
    <t>Using New Rates Starting in 2027</t>
  </si>
  <si>
    <t>Using Existing Rates</t>
  </si>
  <si>
    <t>Number of Accounts</t>
  </si>
  <si>
    <t>Base Charge Revenue</t>
  </si>
  <si>
    <t>Block 1 Revenue</t>
  </si>
  <si>
    <t>Block 2 Revenue</t>
  </si>
  <si>
    <t>Block 3 Revenue</t>
  </si>
  <si>
    <t>RS1 Operating Revenue</t>
  </si>
  <si>
    <t>RS2 Operating Revenue</t>
  </si>
  <si>
    <t>Total Operating Revenue</t>
  </si>
  <si>
    <t>Expense Projections | 2026 - 2030</t>
  </si>
  <si>
    <t>Operating Expenses</t>
  </si>
  <si>
    <t>Total Operating Expenses</t>
  </si>
  <si>
    <t>Debt Service</t>
  </si>
  <si>
    <t>Total Cost of Service</t>
  </si>
  <si>
    <t>*Revenue Requirements</t>
  </si>
  <si>
    <t>Rate Sufficiency Analysis | 2026 - 2030</t>
  </si>
  <si>
    <t>Total Revenue</t>
  </si>
  <si>
    <t>Annual Surplus (Deficit)</t>
  </si>
  <si>
    <t>Cumulative Surplus (Deficit)</t>
  </si>
  <si>
    <t>Net Operating Income</t>
  </si>
  <si>
    <t>Debt Service Coverage Ratio (DSCR)</t>
  </si>
  <si>
    <t>DSCR Sufficient?</t>
  </si>
  <si>
    <t>Current Monthly Bill</t>
  </si>
  <si>
    <t>Base Charge</t>
  </si>
  <si>
    <t>Volumetric Charge</t>
  </si>
  <si>
    <t>Total</t>
  </si>
  <si>
    <t>Combined Avg</t>
  </si>
  <si>
    <t>Proposed Monthly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</si>
</sst>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0.0%"/>
    <numFmt numFmtId="165" formatCode="&quot;$&quot;#,##0"/>
    <numFmt numFmtId="166" formatCode="&quot;$&quot;#,##0.00"/>
    <numFmt numFmtId="167" formatCode="0.00_);[Red]\(0.00\)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242424"/>
      <name val="Aptos Narrow"/>
      <charset val="1"/>
    </font>
    <font>
      <b/>
      <sz val="24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1" fillId="2" borderId="5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0" fontId="0" fillId="2" borderId="4" xfId="0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4" fillId="3" borderId="9" xfId="0" applyFont="1" applyFill="1" applyBorder="1"/>
    <xf numFmtId="0" fontId="1" fillId="2" borderId="2" xfId="0" applyFont="1" applyFill="1" applyBorder="1" applyAlignment="1">
      <alignment wrapText="1"/>
    </xf>
    <xf numFmtId="0" fontId="0" fillId="2" borderId="0" xfId="0" applyFill="1" applyBorder="1"/>
    <xf numFmtId="0" fontId="0" fillId="3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1" fillId="2" borderId="3" xfId="0" applyFont="1" applyFill="1" applyBorder="1"/>
    <xf numFmtId="0" fontId="0" fillId="2" borderId="3" xfId="0" applyFont="1" applyFill="1" applyBorder="1"/>
    <xf numFmtId="0" fontId="5" fillId="3" borderId="5" xfId="0" applyFont="1" applyFill="1" applyBorder="1"/>
    <xf numFmtId="164" fontId="0" fillId="3" borderId="1" xfId="0" applyNumberForma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10" xfId="0" applyFill="1" applyBorder="1"/>
    <xf numFmtId="0" fontId="0" fillId="3" borderId="8" xfId="0" applyFill="1" applyBorder="1"/>
    <xf numFmtId="0" fontId="3" fillId="2" borderId="1" xfId="0" applyFont="1" applyFill="1" applyBorder="1" applyAlignment="1">
      <alignment horizontal="left"/>
    </xf>
    <xf numFmtId="0" fontId="0" fillId="4" borderId="0" xfId="0" applyFill="1"/>
    <xf numFmtId="0" fontId="0" fillId="4" borderId="5" xfId="0" applyFill="1" applyBorder="1"/>
    <xf numFmtId="0" fontId="0" fillId="4" borderId="0" xfId="0" applyFill="1" applyBorder="1"/>
    <xf numFmtId="0" fontId="0" fillId="4" borderId="0" xfId="0" applyFill="1" applyAlignment="1">
      <alignment wrapText="1"/>
    </xf>
    <xf numFmtId="0" fontId="0" fillId="4" borderId="6" xfId="0" applyFill="1" applyBorder="1"/>
    <xf numFmtId="0" fontId="1" fillId="2" borderId="5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3" fontId="0" fillId="3" borderId="1" xfId="0" applyNumberFormat="1" applyFill="1" applyBorder="1"/>
    <xf numFmtId="6" fontId="0" fillId="3" borderId="1" xfId="0" applyNumberFormat="1" applyFill="1" applyBorder="1"/>
    <xf numFmtId="6" fontId="0" fillId="3" borderId="12" xfId="0" applyNumberFormat="1" applyFill="1" applyBorder="1"/>
    <xf numFmtId="8" fontId="0" fillId="3" borderId="1" xfId="0" applyNumberFormat="1" applyFill="1" applyBorder="1"/>
    <xf numFmtId="8" fontId="0" fillId="3" borderId="10" xfId="0" applyNumberFormat="1" applyFill="1" applyBorder="1"/>
    <xf numFmtId="3" fontId="0" fillId="3" borderId="10" xfId="0" applyNumberFormat="1" applyFill="1" applyBorder="1"/>
    <xf numFmtId="0" fontId="5" fillId="3" borderId="5" xfId="0" applyFont="1" applyFill="1" applyBorder="1" applyAlignment="1">
      <alignment horizontal="left"/>
    </xf>
    <xf numFmtId="6" fontId="1" fillId="2" borderId="1" xfId="0" applyNumberFormat="1" applyFont="1" applyFill="1" applyBorder="1"/>
    <xf numFmtId="0" fontId="2" fillId="2" borderId="13" xfId="0" applyFont="1" applyFill="1" applyBorder="1"/>
    <xf numFmtId="6" fontId="2" fillId="2" borderId="13" xfId="0" applyNumberFormat="1" applyFont="1" applyFill="1" applyBorder="1"/>
    <xf numFmtId="6" fontId="1" fillId="2" borderId="12" xfId="0" applyNumberFormat="1" applyFont="1" applyFill="1" applyBorder="1"/>
    <xf numFmtId="6" fontId="1" fillId="2" borderId="8" xfId="0" applyNumberFormat="1" applyFont="1" applyFill="1" applyBorder="1"/>
    <xf numFmtId="6" fontId="1" fillId="2" borderId="2" xfId="0" applyNumberFormat="1" applyFont="1" applyFill="1" applyBorder="1"/>
    <xf numFmtId="0" fontId="3" fillId="2" borderId="13" xfId="0" applyFont="1" applyFill="1" applyBorder="1"/>
    <xf numFmtId="6" fontId="3" fillId="2" borderId="13" xfId="0" applyNumberFormat="1" applyFont="1" applyFill="1" applyBorder="1"/>
    <xf numFmtId="8" fontId="1" fillId="2" borderId="1" xfId="0" applyNumberFormat="1" applyFont="1" applyFill="1" applyBorder="1"/>
    <xf numFmtId="165" fontId="1" fillId="2" borderId="1" xfId="0" applyNumberFormat="1" applyFont="1" applyFill="1" applyBorder="1"/>
    <xf numFmtId="3" fontId="1" fillId="2" borderId="10" xfId="0" applyNumberFormat="1" applyFont="1" applyFill="1" applyBorder="1"/>
    <xf numFmtId="8" fontId="1" fillId="2" borderId="10" xfId="0" applyNumberFormat="1" applyFont="1" applyFill="1" applyBorder="1"/>
    <xf numFmtId="165" fontId="1" fillId="2" borderId="10" xfId="0" applyNumberFormat="1" applyFont="1" applyFill="1" applyBorder="1"/>
    <xf numFmtId="0" fontId="1" fillId="2" borderId="15" xfId="0" applyFont="1" applyFill="1" applyBorder="1"/>
    <xf numFmtId="3" fontId="1" fillId="2" borderId="16" xfId="0" applyNumberFormat="1" applyFont="1" applyFill="1" applyBorder="1"/>
    <xf numFmtId="3" fontId="1" fillId="2" borderId="15" xfId="0" applyNumberFormat="1" applyFont="1" applyFill="1" applyBorder="1"/>
    <xf numFmtId="6" fontId="1" fillId="2" borderId="10" xfId="0" applyNumberFormat="1" applyFont="1" applyFill="1" applyBorder="1"/>
    <xf numFmtId="0" fontId="1" fillId="2" borderId="8" xfId="0" applyFont="1" applyFill="1" applyBorder="1"/>
    <xf numFmtId="8" fontId="3" fillId="2" borderId="13" xfId="0" applyNumberFormat="1" applyFont="1" applyFill="1" applyBorder="1"/>
    <xf numFmtId="8" fontId="2" fillId="2" borderId="14" xfId="0" applyNumberFormat="1" applyFont="1" applyFill="1" applyBorder="1"/>
    <xf numFmtId="0" fontId="1" fillId="2" borderId="12" xfId="0" applyFont="1" applyFill="1" applyBorder="1"/>
    <xf numFmtId="165" fontId="1" fillId="2" borderId="4" xfId="0" applyNumberFormat="1" applyFont="1" applyFill="1" applyBorder="1"/>
    <xf numFmtId="165" fontId="1" fillId="2" borderId="12" xfId="0" applyNumberFormat="1" applyFont="1" applyFill="1" applyBorder="1"/>
    <xf numFmtId="6" fontId="1" fillId="2" borderId="4" xfId="0" applyNumberFormat="1" applyFont="1" applyFill="1" applyBorder="1"/>
    <xf numFmtId="164" fontId="0" fillId="3" borderId="12" xfId="0" applyNumberFormat="1" applyFill="1" applyBorder="1"/>
    <xf numFmtId="0" fontId="2" fillId="2" borderId="7" xfId="0" applyFont="1" applyFill="1" applyBorder="1"/>
    <xf numFmtId="0" fontId="1" fillId="2" borderId="5" xfId="0" applyFont="1" applyFill="1" applyBorder="1" applyAlignment="1">
      <alignment wrapText="1"/>
    </xf>
    <xf numFmtId="2" fontId="1" fillId="2" borderId="0" xfId="0" applyNumberFormat="1" applyFont="1" applyFill="1" applyBorder="1"/>
    <xf numFmtId="0" fontId="1" fillId="2" borderId="7" xfId="0" applyFont="1" applyFill="1" applyBorder="1"/>
    <xf numFmtId="0" fontId="0" fillId="4" borderId="16" xfId="0" applyFill="1" applyBorder="1"/>
    <xf numFmtId="0" fontId="1" fillId="2" borderId="7" xfId="0" applyFont="1" applyFill="1" applyBorder="1" applyAlignment="1">
      <alignment wrapText="1"/>
    </xf>
    <xf numFmtId="6" fontId="1" fillId="2" borderId="16" xfId="0" applyNumberFormat="1" applyFont="1" applyFill="1" applyBorder="1"/>
    <xf numFmtId="0" fontId="1" fillId="2" borderId="0" xfId="0" applyFont="1" applyFill="1" applyBorder="1"/>
    <xf numFmtId="8" fontId="2" fillId="4" borderId="0" xfId="0" applyNumberFormat="1" applyFont="1" applyFill="1" applyBorder="1"/>
    <xf numFmtId="3" fontId="0" fillId="3" borderId="8" xfId="0" applyNumberFormat="1" applyFill="1" applyBorder="1"/>
    <xf numFmtId="0" fontId="1" fillId="2" borderId="5" xfId="0" applyFont="1" applyFill="1" applyBorder="1" applyAlignment="1">
      <alignment vertical="top"/>
    </xf>
    <xf numFmtId="0" fontId="2" fillId="2" borderId="5" xfId="0" applyFont="1" applyFill="1" applyBorder="1"/>
    <xf numFmtId="0" fontId="1" fillId="2" borderId="6" xfId="0" applyFont="1" applyFill="1" applyBorder="1"/>
    <xf numFmtId="0" fontId="2" fillId="2" borderId="17" xfId="0" applyFont="1" applyFill="1" applyBorder="1"/>
    <xf numFmtId="8" fontId="2" fillId="2" borderId="18" xfId="0" applyNumberFormat="1" applyFont="1" applyFill="1" applyBorder="1"/>
    <xf numFmtId="0" fontId="2" fillId="2" borderId="2" xfId="0" applyFont="1" applyFill="1" applyBorder="1"/>
    <xf numFmtId="0" fontId="1" fillId="2" borderId="4" xfId="0" applyFont="1" applyFill="1" applyBorder="1"/>
    <xf numFmtId="8" fontId="1" fillId="2" borderId="16" xfId="0" applyNumberFormat="1" applyFont="1" applyFill="1" applyBorder="1"/>
    <xf numFmtId="8" fontId="1" fillId="2" borderId="15" xfId="0" applyNumberFormat="1" applyFont="1" applyFill="1" applyBorder="1"/>
    <xf numFmtId="6" fontId="1" fillId="2" borderId="7" xfId="0" applyNumberFormat="1" applyFont="1" applyFill="1" applyBorder="1"/>
    <xf numFmtId="6" fontId="1" fillId="2" borderId="15" xfId="0" applyNumberFormat="1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/>
    </xf>
    <xf numFmtId="6" fontId="2" fillId="2" borderId="1" xfId="0" applyNumberFormat="1" applyFont="1" applyFill="1" applyBorder="1"/>
    <xf numFmtId="0" fontId="0" fillId="4" borderId="7" xfId="0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2" borderId="7" xfId="0" applyFont="1" applyFill="1" applyBorder="1" applyAlignment="1">
      <alignment horizontal="right" vertical="center"/>
    </xf>
    <xf numFmtId="0" fontId="1" fillId="2" borderId="11" xfId="0" applyFont="1" applyFill="1" applyBorder="1"/>
    <xf numFmtId="0" fontId="1" fillId="2" borderId="2" xfId="0" applyFont="1" applyFill="1" applyBorder="1"/>
    <xf numFmtId="0" fontId="1" fillId="2" borderId="19" xfId="0" applyFont="1" applyFill="1" applyBorder="1"/>
    <xf numFmtId="6" fontId="0" fillId="3" borderId="16" xfId="0" applyNumberFormat="1" applyFont="1" applyFill="1" applyBorder="1"/>
    <xf numFmtId="6" fontId="0" fillId="3" borderId="10" xfId="0" applyNumberFormat="1" applyFont="1" applyFill="1" applyBorder="1"/>
    <xf numFmtId="0" fontId="1" fillId="2" borderId="4" xfId="0" applyFont="1" applyFill="1" applyBorder="1" applyAlignment="1">
      <alignment horizontal="right" vertical="center"/>
    </xf>
    <xf numFmtId="0" fontId="1" fillId="2" borderId="16" xfId="0" applyFont="1" applyFill="1" applyBorder="1"/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1" fillId="2" borderId="10" xfId="0" applyFont="1" applyFill="1" applyBorder="1"/>
    <xf numFmtId="167" fontId="10" fillId="4" borderId="1" xfId="0" applyNumberFormat="1" applyFont="1" applyFill="1" applyBorder="1" applyAlignment="1">
      <alignment horizontal="center" vertical="center"/>
    </xf>
    <xf numFmtId="167" fontId="10" fillId="4" borderId="24" xfId="0" applyNumberFormat="1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166" fontId="10" fillId="5" borderId="20" xfId="0" applyNumberFormat="1" applyFont="1" applyFill="1" applyBorder="1" applyAlignment="1">
      <alignment horizontal="center" vertical="center"/>
    </xf>
    <xf numFmtId="166" fontId="10" fillId="5" borderId="21" xfId="0" applyNumberFormat="1" applyFont="1" applyFill="1" applyBorder="1" applyAlignment="1">
      <alignment horizontal="center" vertical="center"/>
    </xf>
    <xf numFmtId="166" fontId="10" fillId="5" borderId="23" xfId="0" applyNumberFormat="1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8" fontId="10" fillId="6" borderId="21" xfId="0" applyNumberFormat="1" applyFont="1" applyFill="1" applyBorder="1" applyAlignment="1">
      <alignment horizontal="center" vertical="center"/>
    </xf>
    <xf numFmtId="8" fontId="10" fillId="6" borderId="22" xfId="0" applyNumberFormat="1" applyFont="1" applyFill="1" applyBorder="1" applyAlignment="1">
      <alignment horizontal="center" vertical="center"/>
    </xf>
    <xf numFmtId="8" fontId="10" fillId="6" borderId="1" xfId="0" applyNumberFormat="1" applyFont="1" applyFill="1" applyBorder="1" applyAlignment="1">
      <alignment horizontal="center" vertical="center"/>
    </xf>
    <xf numFmtId="8" fontId="10" fillId="6" borderId="24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7" fillId="4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1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7" fillId="4" borderId="0" xfId="0" applyFont="1" applyFill="1" applyAlignment="1"/>
    <xf numFmtId="0" fontId="1" fillId="2" borderId="9" xfId="0" applyFont="1" applyFill="1" applyBorder="1"/>
    <xf numFmtId="2" fontId="1" fillId="2" borderId="1" xfId="0" applyNumberFormat="1" applyFont="1" applyFill="1" applyBorder="1"/>
    <xf numFmtId="0" fontId="0" fillId="4" borderId="1" xfId="0" applyFill="1" applyBorder="1"/>
  </cellXfs>
  <cellStyles count="1">
    <cellStyle name="Normal" xfId="0" builtinId="0"/>
  </cellStyles>
  <dxfs count="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Finances Under New and Existing Rates in the Next 5 Years (2026-2030)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Using Existing Rates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Rate_Sufficiency_Analysis!$B$3:$F$3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Revenue_Model!J22:N22</c:f>
              <c:numCache>
                <c:formatCode>"$"#,##0.00_);[Red]\("$"#,##0.00\)</c:formatCode>
                <c:ptCount val="5"/>
                <c:pt idx="0">
                  <c:v>1620495</c:v>
                </c:pt>
                <c:pt idx="1">
                  <c:v>1636872</c:v>
                </c:pt>
                <c:pt idx="2">
                  <c:v>1653378</c:v>
                </c:pt>
                <c:pt idx="3">
                  <c:v>1670130</c:v>
                </c:pt>
                <c:pt idx="4">
                  <c:v>1686990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0-434C-A755-08C1B12F6173}"/>
            </c:ext>
          </c:extLst>
        </c:ser>
        <c:ser>
          <c:idx val="1"/>
          <c:order val="1"/>
          <c:tx>
            <c:v>Using New Rates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numRef>
              <c:f>Rate_Sufficiency_Analysis!$B$3:$F$3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Rate_Sufficiency_Analysis!$B$4:$F$4</c:f>
              <c:numCache>
                <c:formatCode>"$"#,##0_);[Red]\("$"#,##0\)</c:formatCode>
                <c:ptCount val="5"/>
                <c:pt idx="0">
                  <c:v>1620495</c:v>
                </c:pt>
                <c:pt idx="1">
                  <c:v>1761846</c:v>
                </c:pt>
                <c:pt idx="2">
                  <c:v>1835517</c:v>
                </c:pt>
                <c:pt idx="3">
                  <c:v>1854114</c:v>
                </c:pt>
                <c:pt idx="4">
                  <c:v>1927887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D7-43B7-9EB1-AA1B551E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6756616"/>
        <c:axId val="1447064584"/>
      </c:barChart>
      <c:lineChart>
        <c:grouping val="standard"/>
        <c:varyColors val="0"/>
        <c:ser>
          <c:idx val="2"/>
          <c:order val="2"/>
          <c:tx>
            <c:v>Expenses</c:v>
          </c:tx>
          <c:spPr>
            <a:ln w="28575" cap="flat" cmpd="sng" algn="ctr">
              <a:solidFill>
                <a:srgbClr val="C00000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Rate_Sufficiency_Analysis!$B$3:$F$3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Rate_Sufficiency_Analysis!$B$5:$F$5</c:f>
              <c:numCache>
                <c:formatCode>"$"#,##0_);[Red]\("$"#,##0\)</c:formatCode>
                <c:ptCount val="5"/>
                <c:pt idx="0">
                  <c:v>1665500</c:v>
                </c:pt>
                <c:pt idx="1">
                  <c:v>1710515</c:v>
                </c:pt>
                <c:pt idx="2">
                  <c:v>1766882</c:v>
                </c:pt>
                <c:pt idx="3">
                  <c:v>1814639</c:v>
                </c:pt>
                <c:pt idx="4">
                  <c:v>1863829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D7-43B7-9EB1-AA1B551E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756616"/>
        <c:axId val="1447064584"/>
      </c:lineChart>
      <c:catAx>
        <c:axId val="158675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64584"/>
        <c:crosses val="autoZero"/>
        <c:auto val="1"/>
        <c:lblAlgn val="ctr"/>
        <c:lblOffset val="100"/>
        <c:noMultiLvlLbl val="0"/>
      </c:catAx>
      <c:valAx>
        <c:axId val="1447064584"/>
        <c:scaling>
          <c:orientation val="minMax"/>
          <c:max val="1950000"/>
          <c:min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5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Annual Surplus (Deficit) Using New Rates Starting in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{"Annual Surplus (Deficit)"}</c:f>
              <c:strCache>
                <c:ptCount val="1"/>
                <c:pt idx="0">
                  <c:v>Annual Surplus (Deficit)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B2-49B6-AADB-F22A42C83141}"/>
              </c:ext>
            </c:extLst>
          </c:dPt>
          <c:dPt>
            <c:idx val="1"/>
            <c:invertIfNegative val="0"/>
            <c:bubble3D val="0"/>
            <c:spPr>
              <a:solidFill>
                <a:srgbClr val="54823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B2-49B6-AADB-F22A42C83141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D7-46B4-B903-949BB2443B28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D7-46B4-B903-949BB2443B28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C0B-44C4-8580-026CEB7483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Rate_Sufficiency_Analysis!$B$3:$F$3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Rate_Sufficiency_Analysis!B6:F6</c:f>
              <c:numCache>
                <c:formatCode>"$"#,##0_);[Red]\("$"#,##0\)</c:formatCode>
                <c:ptCount val="5"/>
                <c:pt idx="0">
                  <c:v>-45005</c:v>
                </c:pt>
                <c:pt idx="1">
                  <c:v>51331</c:v>
                </c:pt>
                <c:pt idx="2">
                  <c:v>68635</c:v>
                </c:pt>
                <c:pt idx="3">
                  <c:v>39475</c:v>
                </c:pt>
                <c:pt idx="4">
                  <c:v>64058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2-49B6-AADB-F22A42C83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756616"/>
        <c:axId val="1447064584"/>
      </c:barChart>
      <c:catAx>
        <c:axId val="158675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64584"/>
        <c:crosses val="autoZero"/>
        <c:auto val="1"/>
        <c:lblAlgn val="ctr"/>
        <c:lblOffset val="100"/>
        <c:noMultiLvlLbl val="0"/>
      </c:catAx>
      <c:valAx>
        <c:axId val="1447064584"/>
        <c:scaling>
          <c:orientation val="minMax"/>
          <c:max val="100000"/>
          <c:min val="-1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0"/>
        <c:majorTickMark val="none"/>
        <c:minorTickMark val="none"/>
        <c:tickLblPos val="nextTo"/>
        <c:crossAx val="158675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DSCR Trend vs Target DSCR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{"DSCR"}</c:f>
              <c:strCache>
                <c:ptCount val="1"/>
                <c:pt idx="0">
                  <c:v>DSCR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prstDash val="solid"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B6F-458B-8B74-FB53BBB479B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B6F-458B-8B74-FB53BBB479B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B6F-458B-8B74-FB53BBB479B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B6F-458B-8B74-FB53BBB479B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6B6F-458B-8B74-FB53BBB47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Rate_Sufficiency_Analysis!B9:F9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Rate_Sufficiency_Analysis!$B$12:$F$12</c:f>
              <c:numCache>
                <c:formatCode>0.00</c:formatCode>
                <c:ptCount val="5"/>
                <c:pt idx="0">
                  <c:v>0.72724242424242425</c:v>
                </c:pt>
                <c:pt idx="1">
                  <c:v>1.3110969696969696</c:v>
                </c:pt>
                <c:pt idx="2">
                  <c:v>1.3922000000000001</c:v>
                </c:pt>
                <c:pt idx="3">
                  <c:v>1.2255714285714285</c:v>
                </c:pt>
                <c:pt idx="4">
                  <c:v>1.3660457142857143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9-4BFC-A650-7A3FD9041235}"/>
            </c:ext>
          </c:extLst>
        </c:ser>
        <c:ser>
          <c:idx val="1"/>
          <c:order val="1"/>
          <c:tx>
            <c:strRef>
              <c:f>{"Target DSCR"}</c:f>
              <c:strCache>
                <c:ptCount val="1"/>
                <c:pt idx="0">
                  <c:v>Target DSCR</c:v>
                </c:pt>
              </c:strCache>
            </c:strRef>
          </c:tx>
          <c:spPr>
            <a:ln w="28575" cap="flat" cmpd="sng" algn="ctr">
              <a:solidFill>
                <a:srgbClr val="C00000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6F-458B-8B74-FB53BBB479B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6F-458B-8B74-FB53BBB479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6F-458B-8B74-FB53BBB479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6F-458B-8B74-FB53BBB47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Rate_Sufficiency_Analysis!B9:F9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Rate_Sufficiency_Analysis!AL5:AP5</c:f>
              <c:numCache>
                <c:formatCode>0.00</c:formatCode>
                <c:ptCount val="5"/>
                <c:pt idx="0">
                  <c:v>1.1499999999999999</c:v>
                </c:pt>
                <c:pt idx="1">
                  <c:v>1.1499999999999999</c:v>
                </c:pt>
                <c:pt idx="2">
                  <c:v>1.1499999999999999</c:v>
                </c:pt>
                <c:pt idx="3">
                  <c:v>1.1499999999999999</c:v>
                </c:pt>
                <c:pt idx="4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F-458B-8B74-FB53BBB47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893512"/>
        <c:axId val="582435848"/>
      </c:lineChart>
      <c:catAx>
        <c:axId val="75189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35848"/>
        <c:crosses val="autoZero"/>
        <c:auto val="1"/>
        <c:lblAlgn val="ctr"/>
        <c:lblOffset val="100"/>
        <c:noMultiLvlLbl val="0"/>
      </c:catAx>
      <c:valAx>
        <c:axId val="582435848"/>
        <c:scaling>
          <c:orientation val="minMax"/>
          <c:min val="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518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10</xdr:row>
      <xdr:rowOff>180975</xdr:rowOff>
    </xdr:from>
    <xdr:to>
      <xdr:col>7</xdr:col>
      <xdr:colOff>600075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55DC1-E0A5-E535-BF13-A1A65604F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10</xdr:row>
      <xdr:rowOff>180975</xdr:rowOff>
    </xdr:from>
    <xdr:to>
      <xdr:col>15</xdr:col>
      <xdr:colOff>466725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4B618-5B59-4113-BE2B-6DD492F3208A}"/>
            </a:ext>
            <a:ext uri="{147F2762-F138-4A5C-976F-8EAC2B608ADB}">
              <a16:predDERef xmlns:a16="http://schemas.microsoft.com/office/drawing/2014/main" pred="{B7A55DC1-E0A5-E535-BF13-A1A65604F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0</xdr:row>
      <xdr:rowOff>161925</xdr:rowOff>
    </xdr:from>
    <xdr:to>
      <xdr:col>15</xdr:col>
      <xdr:colOff>466725</xdr:colOff>
      <xdr:row>10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B8824-AAAD-4055-8B3A-C64641E50DC5}"/>
            </a:ext>
            <a:ext uri="{147F2762-F138-4A5C-976F-8EAC2B608ADB}">
              <a16:predDERef xmlns:a16="http://schemas.microsoft.com/office/drawing/2014/main" pred="{7A74B618-5B59-4113-BE2B-6DD492F32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B75A-D480-4707-899D-4BDE57EE180A}">
  <dimension ref="A1:S41"/>
  <sheetViews>
    <sheetView showGridLines="0" workbookViewId="0">
      <selection sqref="A1:H1"/>
    </sheetView>
  </sheetViews>
  <sheetFormatPr defaultRowHeight="15"/>
  <cols>
    <col min="1" max="1" width="8.5703125" customWidth="1"/>
    <col min="2" max="2" width="7" customWidth="1"/>
    <col min="3" max="3" width="11.85546875" customWidth="1"/>
    <col min="7" max="7" width="12.5703125" customWidth="1"/>
  </cols>
  <sheetData>
    <row r="1" spans="1:19" ht="30.75" customHeight="1">
      <c r="A1" s="110" t="s">
        <v>0</v>
      </c>
      <c r="B1" s="110"/>
      <c r="C1" s="110"/>
      <c r="D1" s="110"/>
      <c r="E1" s="110"/>
      <c r="F1" s="110"/>
      <c r="G1" s="110"/>
      <c r="H1" s="11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21.75" customHeight="1">
      <c r="A2" s="26"/>
      <c r="B2" s="102"/>
      <c r="C2" s="102"/>
      <c r="D2" s="102"/>
      <c r="E2" s="102"/>
      <c r="F2" s="102"/>
      <c r="G2" s="102"/>
      <c r="H2" s="102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>
      <c r="B3" s="111" cm="1">
        <f t="array" ref="B3">current_monthly_bill</f>
        <v>43.98827361563518</v>
      </c>
      <c r="C3" s="112"/>
      <c r="D3" s="112"/>
      <c r="E3" s="117" cm="1">
        <f t="array" ref="E3">proposed_monthly_bill</f>
        <v>47.346579804560264</v>
      </c>
      <c r="F3" s="117"/>
      <c r="G3" s="118"/>
      <c r="M3" s="26"/>
      <c r="N3" s="26"/>
      <c r="O3" s="26"/>
      <c r="P3" s="26"/>
      <c r="Q3" s="26"/>
      <c r="R3" s="26"/>
      <c r="S3" s="26"/>
    </row>
    <row r="4" spans="1:19">
      <c r="B4" s="113"/>
      <c r="C4" s="114"/>
      <c r="D4" s="114"/>
      <c r="E4" s="119"/>
      <c r="F4" s="119"/>
      <c r="G4" s="120"/>
      <c r="M4" s="26"/>
      <c r="N4" s="26"/>
      <c r="O4" s="26"/>
      <c r="P4" s="26"/>
      <c r="Q4" s="26"/>
      <c r="R4" s="26"/>
      <c r="S4" s="26"/>
    </row>
    <row r="5" spans="1:19">
      <c r="B5" s="113"/>
      <c r="C5" s="114"/>
      <c r="D5" s="114"/>
      <c r="E5" s="119"/>
      <c r="F5" s="119"/>
      <c r="G5" s="120"/>
      <c r="M5" s="26"/>
      <c r="N5" s="26"/>
      <c r="O5" s="26"/>
      <c r="P5" s="26"/>
      <c r="Q5" s="26"/>
      <c r="R5" s="26"/>
      <c r="S5" s="26"/>
    </row>
    <row r="6" spans="1:19">
      <c r="B6" s="115" t="s">
        <v>1</v>
      </c>
      <c r="C6" s="116"/>
      <c r="D6" s="116"/>
      <c r="E6" s="121" t="s">
        <v>2</v>
      </c>
      <c r="F6" s="121"/>
      <c r="G6" s="122"/>
      <c r="M6" s="26"/>
      <c r="N6" s="26"/>
      <c r="O6" s="26"/>
      <c r="P6" s="26"/>
      <c r="Q6" s="26"/>
      <c r="R6" s="26"/>
      <c r="S6" s="26"/>
    </row>
    <row r="7" spans="1:19">
      <c r="A7" s="26"/>
      <c r="B7" s="123" cm="1">
        <f t="array" ref="B7">current_dscr</f>
        <v>0.72724242424242425</v>
      </c>
      <c r="C7" s="105"/>
      <c r="D7" s="105"/>
      <c r="E7" s="105" cm="1">
        <f t="array" ref="E7">proposed_dscr</f>
        <v>1.3110969696969696</v>
      </c>
      <c r="F7" s="105"/>
      <c r="G7" s="10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>
      <c r="A8" s="26"/>
      <c r="B8" s="123"/>
      <c r="C8" s="105"/>
      <c r="D8" s="105"/>
      <c r="E8" s="105"/>
      <c r="F8" s="105"/>
      <c r="G8" s="10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>
      <c r="A9" s="26"/>
      <c r="B9" s="123"/>
      <c r="C9" s="105"/>
      <c r="D9" s="105"/>
      <c r="E9" s="105"/>
      <c r="F9" s="105"/>
      <c r="G9" s="10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>
      <c r="A10" s="26"/>
      <c r="B10" s="107" t="s">
        <v>3</v>
      </c>
      <c r="C10" s="108"/>
      <c r="D10" s="108"/>
      <c r="E10" s="108" t="s">
        <v>4</v>
      </c>
      <c r="F10" s="108"/>
      <c r="G10" s="109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1:19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spans="1:19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1:19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1:19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spans="1:19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19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1:19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1:19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spans="1:19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1:19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1:1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 ht="15" customHeight="1">
      <c r="A30" s="142" t="s">
        <v>5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</row>
    <row r="31" spans="1:19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</row>
    <row r="32" spans="1:19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</row>
    <row r="33" spans="1:16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</row>
    <row r="34" spans="1:16">
      <c r="A34" s="144" t="s">
        <v>6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</row>
    <row r="35" spans="1:16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16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</row>
    <row r="37" spans="1:16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</row>
    <row r="38" spans="1:16">
      <c r="A38" s="145" t="s">
        <v>7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</row>
    <row r="39" spans="1:16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</row>
    <row r="40" spans="1:16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</row>
    <row r="41" spans="1:16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</row>
  </sheetData>
  <sheetProtection sheet="1" objects="1" scenarios="1"/>
  <mergeCells count="12">
    <mergeCell ref="A1:H1"/>
    <mergeCell ref="A30:P33"/>
    <mergeCell ref="A34:P37"/>
    <mergeCell ref="A38:P41"/>
    <mergeCell ref="E7:G9"/>
    <mergeCell ref="B10:D10"/>
    <mergeCell ref="E10:G10"/>
    <mergeCell ref="B3:D5"/>
    <mergeCell ref="B6:D6"/>
    <mergeCell ref="E3:G5"/>
    <mergeCell ref="E6:G6"/>
    <mergeCell ref="B7:D9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OrEqual" id="{C9025F45-B6EA-457D-B9CB-B8C3183C8DD3}">
            <xm:f>Inputs!$E$9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B7:G9</xm:sqref>
        </x14:conditionalFormatting>
        <x14:conditionalFormatting xmlns:xm="http://schemas.microsoft.com/office/excel/2006/main">
          <x14:cfRule type="cellIs" priority="1" operator="lessThan" id="{3B29EDB2-A1EA-4299-92F2-58911080098F}">
            <xm:f>Inputs!$E$9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B7:G9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4"/>
  <sheetViews>
    <sheetView showGridLines="0" topLeftCell="A10" workbookViewId="0">
      <selection activeCell="R21" sqref="R21"/>
    </sheetView>
  </sheetViews>
  <sheetFormatPr defaultRowHeight="15"/>
  <cols>
    <col min="1" max="2" width="36.5703125" bestFit="1" customWidth="1"/>
    <col min="4" max="4" width="24.42578125" bestFit="1" customWidth="1"/>
    <col min="9" max="9" width="36.5703125" bestFit="1" customWidth="1"/>
    <col min="10" max="10" width="12.5703125" customWidth="1"/>
    <col min="11" max="11" width="10.5703125" bestFit="1" customWidth="1"/>
    <col min="12" max="15" width="8.5703125" customWidth="1"/>
    <col min="16" max="16" width="10" customWidth="1"/>
    <col min="17" max="17" width="26.85546875" bestFit="1" customWidth="1"/>
    <col min="18" max="18" width="9.42578125" bestFit="1" customWidth="1"/>
    <col min="20" max="20" width="20" bestFit="1" customWidth="1"/>
    <col min="21" max="21" width="9.42578125" bestFit="1" customWidth="1"/>
    <col min="22" max="22" width="20" bestFit="1" customWidth="1"/>
    <col min="23" max="23" width="4.7109375" bestFit="1" customWidth="1"/>
    <col min="24" max="28" width="9.42578125" bestFit="1" customWidth="1"/>
    <col min="36" max="36" width="26.85546875" bestFit="1" customWidth="1"/>
    <col min="37" max="37" width="9.42578125" bestFit="1" customWidth="1"/>
    <col min="39" max="39" width="20" bestFit="1" customWidth="1"/>
    <col min="40" max="40" width="9.42578125" bestFit="1" customWidth="1"/>
    <col min="41" max="41" width="20" bestFit="1" customWidth="1"/>
    <col min="42" max="42" width="4.7109375" bestFit="1" customWidth="1"/>
    <col min="43" max="47" width="9.42578125" bestFit="1" customWidth="1"/>
  </cols>
  <sheetData>
    <row r="1" spans="1:95" ht="21">
      <c r="A1" s="129" t="s">
        <v>8</v>
      </c>
      <c r="B1" s="130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</row>
    <row r="2" spans="1:95">
      <c r="A2" s="131" t="s">
        <v>9</v>
      </c>
      <c r="B2" s="132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</row>
    <row r="3" spans="1:95">
      <c r="A3" s="90"/>
      <c r="B3" s="70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</row>
    <row r="4" spans="1:95">
      <c r="A4" s="133" t="s">
        <v>10</v>
      </c>
      <c r="B4" s="134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</row>
    <row r="5" spans="1:9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</row>
    <row r="6" spans="1:95" ht="15.75">
      <c r="A6" s="25" t="s">
        <v>11</v>
      </c>
      <c r="B6" s="23" t="s">
        <v>12</v>
      </c>
      <c r="C6" s="26"/>
      <c r="D6" s="103" t="s">
        <v>13</v>
      </c>
      <c r="E6" s="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</row>
    <row r="7" spans="1:95" ht="15.75">
      <c r="A7" s="25" t="s">
        <v>14</v>
      </c>
      <c r="B7" s="23">
        <v>10328</v>
      </c>
      <c r="C7" s="26"/>
      <c r="D7" s="4" t="s">
        <v>15</v>
      </c>
      <c r="E7" s="65">
        <v>0.03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</row>
    <row r="8" spans="1:95" ht="15.75">
      <c r="A8" s="25" t="s">
        <v>16</v>
      </c>
      <c r="B8" s="23">
        <v>3070</v>
      </c>
      <c r="C8" s="26"/>
      <c r="D8" s="5" t="s">
        <v>17</v>
      </c>
      <c r="E8" s="20">
        <v>0.01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</row>
    <row r="9" spans="1:95" ht="15.75">
      <c r="A9" s="25" t="s">
        <v>18</v>
      </c>
      <c r="B9" s="51">
        <f>SUM(K13:K15,K18:K20) * 12 * 1000</f>
        <v>410100000</v>
      </c>
      <c r="C9" s="26"/>
      <c r="D9" s="66" t="s">
        <v>19</v>
      </c>
      <c r="E9" s="2">
        <v>1.1499999999999999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</row>
    <row r="10" spans="1:95" ht="32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</row>
    <row r="11" spans="1:95" ht="15" customHeight="1">
      <c r="A11" s="7" t="s">
        <v>20</v>
      </c>
      <c r="B11" s="8" t="s">
        <v>21</v>
      </c>
      <c r="C11" s="10">
        <v>2026</v>
      </c>
      <c r="D11" s="8">
        <f>C11+1</f>
        <v>2027</v>
      </c>
      <c r="E11" s="8">
        <f t="shared" ref="E11:G11" si="0">D11+1</f>
        <v>2028</v>
      </c>
      <c r="F11" s="8">
        <f t="shared" si="0"/>
        <v>2029</v>
      </c>
      <c r="G11" s="9">
        <f t="shared" si="0"/>
        <v>2030</v>
      </c>
      <c r="H11" s="26"/>
      <c r="I11" s="126" t="s">
        <v>22</v>
      </c>
      <c r="J11" s="127"/>
      <c r="K11" s="127"/>
      <c r="L11" s="127"/>
      <c r="M11" s="127"/>
      <c r="N11" s="127"/>
      <c r="O11" s="128"/>
      <c r="P11" s="28"/>
      <c r="Q11" s="91" t="s">
        <v>23</v>
      </c>
      <c r="R11" s="21">
        <v>2026</v>
      </c>
      <c r="S11" s="26"/>
      <c r="T11" s="91" t="s">
        <v>24</v>
      </c>
      <c r="U11" s="95"/>
      <c r="V11" s="92" t="s">
        <v>24</v>
      </c>
      <c r="W11" s="99" t="s">
        <v>25</v>
      </c>
      <c r="X11" s="17">
        <v>2026</v>
      </c>
      <c r="Y11" s="17">
        <f>X11+1</f>
        <v>2027</v>
      </c>
      <c r="Z11" s="17">
        <f>Y11+1</f>
        <v>2028</v>
      </c>
      <c r="AA11" s="17">
        <f>Z11+1</f>
        <v>2029</v>
      </c>
      <c r="AB11" s="82">
        <f>AA11+1</f>
        <v>2030</v>
      </c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</row>
    <row r="12" spans="1:95">
      <c r="A12" s="27"/>
      <c r="B12" s="28"/>
      <c r="C12" s="28"/>
      <c r="D12" s="28"/>
      <c r="E12" s="28"/>
      <c r="F12" s="28"/>
      <c r="G12" s="30"/>
      <c r="H12" s="26"/>
      <c r="I12" s="3" t="s">
        <v>26</v>
      </c>
      <c r="J12" s="73" t="s">
        <v>21</v>
      </c>
      <c r="K12" s="61" cm="1">
        <f t="array" ref="K12">currentyear</f>
        <v>2026</v>
      </c>
      <c r="L12" s="61">
        <f>K12+1</f>
        <v>2027</v>
      </c>
      <c r="M12" s="61">
        <f t="shared" ref="M12:O12" si="1">L12+1</f>
        <v>2028</v>
      </c>
      <c r="N12" s="61">
        <f t="shared" si="1"/>
        <v>2029</v>
      </c>
      <c r="O12" s="61">
        <f t="shared" si="1"/>
        <v>2030</v>
      </c>
      <c r="P12" s="28"/>
      <c r="Q12" s="3" t="s">
        <v>27</v>
      </c>
      <c r="R12" s="35">
        <v>725000</v>
      </c>
      <c r="S12" s="26"/>
      <c r="T12" s="93" t="s">
        <v>25</v>
      </c>
      <c r="U12" s="69"/>
      <c r="V12" s="94"/>
      <c r="W12" s="100"/>
      <c r="X12" s="57">
        <f>U13</f>
        <v>165000</v>
      </c>
      <c r="Y12" s="41">
        <f>U14</f>
        <v>165000</v>
      </c>
      <c r="Z12" s="41">
        <f>U15</f>
        <v>175000</v>
      </c>
      <c r="AA12" s="41">
        <f>U16</f>
        <v>175000</v>
      </c>
      <c r="AB12" s="41">
        <f>U17</f>
        <v>175000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</row>
    <row r="13" spans="1:95">
      <c r="A13" s="11" t="s">
        <v>26</v>
      </c>
      <c r="B13" s="18"/>
      <c r="C13" s="14"/>
      <c r="D13" s="14"/>
      <c r="E13" s="14"/>
      <c r="F13" s="14"/>
      <c r="G13" s="15"/>
      <c r="H13" s="26"/>
      <c r="I13" s="76" t="str" cm="1">
        <f t="array" ref="I13">rate_structure_1</f>
        <v>Residential water, inside</v>
      </c>
      <c r="J13" s="58" t="s">
        <v>28</v>
      </c>
      <c r="K13" s="34">
        <v>17640</v>
      </c>
      <c r="L13" s="22" cm="1">
        <f t="array" ref="L13">ROUND(K13*(1 + pop_growth_rate),0)</f>
        <v>17816</v>
      </c>
      <c r="M13" s="22" cm="1">
        <f t="array" ref="M13">ROUND(L13*(1 + pop_growth_rate),0)</f>
        <v>17994</v>
      </c>
      <c r="N13" s="22" cm="1">
        <f t="array" ref="N13">ROUND(M13*(1 + pop_growth_rate),0)</f>
        <v>18174</v>
      </c>
      <c r="O13" s="22" cm="1">
        <f t="array" ref="O13">ROUND(N13*(1 + pop_growth_rate),0)</f>
        <v>18356</v>
      </c>
      <c r="P13" s="28"/>
      <c r="Q13" s="3" t="s">
        <v>29</v>
      </c>
      <c r="R13" s="35">
        <v>135000</v>
      </c>
      <c r="S13" s="26"/>
      <c r="T13" s="96">
        <v>2026</v>
      </c>
      <c r="U13" s="97">
        <v>165000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</row>
    <row r="14" spans="1:95">
      <c r="A14" s="19" t="s">
        <v>30</v>
      </c>
      <c r="B14" s="21" t="s">
        <v>31</v>
      </c>
      <c r="C14" s="37">
        <v>17</v>
      </c>
      <c r="D14" s="38">
        <v>20</v>
      </c>
      <c r="E14" s="37">
        <v>20</v>
      </c>
      <c r="F14" s="37">
        <v>20</v>
      </c>
      <c r="G14" s="37">
        <v>20</v>
      </c>
      <c r="H14" s="26"/>
      <c r="I14" s="3"/>
      <c r="J14" s="58" t="s">
        <v>32</v>
      </c>
      <c r="K14" s="34">
        <v>4410</v>
      </c>
      <c r="L14" s="22" cm="1">
        <f t="array" ref="L14">ROUND(K14*(1 + pop_growth_rate),0)</f>
        <v>4454</v>
      </c>
      <c r="M14" s="22" cm="1">
        <f t="array" ref="M14">ROUND(L14*(1 + pop_growth_rate),0)</f>
        <v>4499</v>
      </c>
      <c r="N14" s="22" cm="1">
        <f t="array" ref="N14">ROUND(M14*(1 + pop_growth_rate),0)</f>
        <v>4544</v>
      </c>
      <c r="O14" s="22" cm="1">
        <f t="array" ref="O14">ROUND(N14*(1 + pop_growth_rate),0)</f>
        <v>4589</v>
      </c>
      <c r="P14" s="28"/>
      <c r="Q14" s="3" t="s">
        <v>33</v>
      </c>
      <c r="R14" s="36">
        <v>64000</v>
      </c>
      <c r="S14" s="26"/>
      <c r="T14" s="96">
        <f>T13+1</f>
        <v>2027</v>
      </c>
      <c r="U14" s="98">
        <v>165000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</row>
    <row r="15" spans="1:95" ht="30.75">
      <c r="A15" s="3" t="s">
        <v>16</v>
      </c>
      <c r="B15" s="22" t="s">
        <v>34</v>
      </c>
      <c r="C15" s="34">
        <v>2000</v>
      </c>
      <c r="D15" s="39">
        <v>2000</v>
      </c>
      <c r="E15" s="34">
        <v>2000</v>
      </c>
      <c r="F15" s="34">
        <v>2000</v>
      </c>
      <c r="G15" s="34">
        <v>2000</v>
      </c>
      <c r="H15" s="26"/>
      <c r="I15" s="69"/>
      <c r="J15" s="58" t="s">
        <v>35</v>
      </c>
      <c r="K15" s="34">
        <v>630</v>
      </c>
      <c r="L15" s="22" cm="1">
        <f t="array" ref="L15">ROUND(K15*(1 + pop_growth_rate),0)</f>
        <v>636</v>
      </c>
      <c r="M15" s="22" cm="1">
        <f t="array" ref="M15">ROUND(L15*(1 + pop_growth_rate),0)</f>
        <v>642</v>
      </c>
      <c r="N15" s="22" cm="1">
        <f t="array" ref="N15">ROUND(M15*(1 + pop_growth_rate),0)</f>
        <v>648</v>
      </c>
      <c r="O15" s="22" cm="1">
        <f t="array" ref="O15">ROUND(N15*(1 + pop_growth_rate),0)</f>
        <v>654</v>
      </c>
      <c r="P15" s="28"/>
      <c r="Q15" s="3" t="s">
        <v>36</v>
      </c>
      <c r="R15" s="35">
        <v>130500</v>
      </c>
      <c r="S15" s="26"/>
      <c r="T15" s="96">
        <f>T14+1</f>
        <v>2028</v>
      </c>
      <c r="U15" s="98">
        <v>175000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</row>
    <row r="16" spans="1:95">
      <c r="A16" s="40">
        <v>2520</v>
      </c>
      <c r="B16" s="32"/>
      <c r="C16" s="32"/>
      <c r="D16" s="12"/>
      <c r="E16" s="12"/>
      <c r="F16" s="12"/>
      <c r="G16" s="16"/>
      <c r="H16" s="26"/>
      <c r="I16" s="26"/>
      <c r="J16" s="26"/>
      <c r="K16" s="26"/>
      <c r="L16" s="26"/>
      <c r="M16" s="28"/>
      <c r="N16" s="28"/>
      <c r="O16" s="28"/>
      <c r="P16" s="28"/>
      <c r="Q16" s="3" t="s">
        <v>37</v>
      </c>
      <c r="R16" s="35">
        <v>52000</v>
      </c>
      <c r="S16" s="26"/>
      <c r="T16" s="96">
        <f t="shared" ref="T16:T17" si="2">T15+1</f>
        <v>2029</v>
      </c>
      <c r="U16" s="98">
        <v>175000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</row>
    <row r="17" spans="1:95">
      <c r="A17" s="31"/>
      <c r="B17" s="32"/>
      <c r="C17" s="32"/>
      <c r="D17" s="12"/>
      <c r="E17" s="12"/>
      <c r="F17" s="12"/>
      <c r="G17" s="16"/>
      <c r="H17" s="26"/>
      <c r="I17" s="95" t="s">
        <v>38</v>
      </c>
      <c r="J17" s="17" t="s">
        <v>21</v>
      </c>
      <c r="K17" s="21" cm="1">
        <f t="array" ref="K17">currentyear</f>
        <v>2026</v>
      </c>
      <c r="L17" s="61">
        <f>K17+1</f>
        <v>2027</v>
      </c>
      <c r="M17" s="61">
        <f t="shared" ref="M17:O17" si="3">L17+1</f>
        <v>2028</v>
      </c>
      <c r="N17" s="61">
        <f t="shared" si="3"/>
        <v>2029</v>
      </c>
      <c r="O17" s="61">
        <f t="shared" si="3"/>
        <v>2030</v>
      </c>
      <c r="P17" s="28"/>
      <c r="Q17" s="3" t="s">
        <v>39</v>
      </c>
      <c r="R17" s="35">
        <v>250000</v>
      </c>
      <c r="S17" s="26"/>
      <c r="T17" s="54">
        <f t="shared" si="2"/>
        <v>2030</v>
      </c>
      <c r="U17" s="98">
        <v>175000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</row>
    <row r="18" spans="1:95">
      <c r="A18" s="31" t="s">
        <v>40</v>
      </c>
      <c r="B18" s="33"/>
      <c r="C18" s="33"/>
      <c r="D18" s="12"/>
      <c r="E18" s="12"/>
      <c r="F18" s="12"/>
      <c r="G18" s="16"/>
      <c r="H18" s="26"/>
      <c r="I18" s="3" t="str" cm="1">
        <f t="array" ref="I18">rate_structure_2</f>
        <v>Commerical, inside</v>
      </c>
      <c r="J18" s="21" t="s">
        <v>28</v>
      </c>
      <c r="K18" s="75">
        <v>5500</v>
      </c>
      <c r="L18" s="21" cm="1">
        <f t="array" ref="L18">ROUND(K18*(1 + pop_growth_rate),0)</f>
        <v>5555</v>
      </c>
      <c r="M18" s="21" cm="1">
        <f t="array" ref="M18">ROUND(L18*(1 + pop_growth_rate),0)</f>
        <v>5611</v>
      </c>
      <c r="N18" s="21" cm="1">
        <f t="array" ref="N18">ROUND(M18*(1 + pop_growth_rate),0)</f>
        <v>5667</v>
      </c>
      <c r="O18" s="21" cm="1">
        <f t="array" ref="O18">ROUND(N18*(1 + pop_growth_rate),0)</f>
        <v>5724</v>
      </c>
      <c r="P18" s="28"/>
      <c r="Q18" s="69" t="s">
        <v>41</v>
      </c>
      <c r="R18" s="35">
        <v>144000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</row>
    <row r="19" spans="1:95">
      <c r="A19" s="13">
        <v>3000</v>
      </c>
      <c r="B19" s="21" t="s">
        <v>42</v>
      </c>
      <c r="C19" s="37">
        <v>1.75</v>
      </c>
      <c r="D19" s="38">
        <v>1.5</v>
      </c>
      <c r="E19" s="37">
        <v>1.75</v>
      </c>
      <c r="F19" s="37">
        <v>1.75</v>
      </c>
      <c r="G19" s="37">
        <v>2</v>
      </c>
      <c r="H19" s="26"/>
      <c r="I19" s="3"/>
      <c r="J19" s="21" t="s">
        <v>32</v>
      </c>
      <c r="K19" s="75">
        <v>5000</v>
      </c>
      <c r="L19" s="21" cm="1">
        <f t="array" ref="L19">ROUND(K19*(1 + pop_growth_rate),0)</f>
        <v>5050</v>
      </c>
      <c r="M19" s="21" cm="1">
        <f t="array" ref="M19">ROUND(L19*(1 + pop_growth_rate),0)</f>
        <v>5101</v>
      </c>
      <c r="N19" s="21" cm="1">
        <f t="array" ref="N19">ROUND(M19*(1 + pop_growth_rate),0)</f>
        <v>5152</v>
      </c>
      <c r="O19" s="21" cm="1">
        <f t="array" ref="O19">ROUND(N19*(1 + pop_growth_rate),0)</f>
        <v>5204</v>
      </c>
      <c r="P19" s="28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</row>
    <row r="20" spans="1:95">
      <c r="A20" s="24">
        <v>4000</v>
      </c>
      <c r="B20" s="21" t="s">
        <v>43</v>
      </c>
      <c r="C20" s="37">
        <v>1.75</v>
      </c>
      <c r="D20" s="38">
        <v>2.5</v>
      </c>
      <c r="E20" s="37">
        <v>2.5</v>
      </c>
      <c r="F20" s="37">
        <v>2.5</v>
      </c>
      <c r="G20" s="37">
        <v>2.5</v>
      </c>
      <c r="H20" s="26"/>
      <c r="I20" s="69"/>
      <c r="J20" s="21" t="s">
        <v>35</v>
      </c>
      <c r="K20" s="75">
        <v>995</v>
      </c>
      <c r="L20" s="21" cm="1">
        <f t="array" ref="L20">ROUND(K20*(1 + pop_growth_rate),0)</f>
        <v>1005</v>
      </c>
      <c r="M20" s="21" cm="1">
        <f t="array" ref="M20">ROUND(L20*(1 + pop_growth_rate),0)</f>
        <v>1015</v>
      </c>
      <c r="N20" s="21" cm="1">
        <f t="array" ref="N20">ROUND(M20*(1 + pop_growth_rate),0)</f>
        <v>1025</v>
      </c>
      <c r="O20" s="21" cm="1">
        <f t="array" ref="O20">ROUND(N20*(1 + pop_growth_rate),0)</f>
        <v>1035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</row>
    <row r="21" spans="1:95">
      <c r="A21" s="24">
        <v>5000</v>
      </c>
      <c r="B21" s="21" t="s">
        <v>44</v>
      </c>
      <c r="C21" s="37">
        <v>1.75</v>
      </c>
      <c r="D21" s="38">
        <v>3.5</v>
      </c>
      <c r="E21" s="37">
        <v>3.75</v>
      </c>
      <c r="F21" s="37">
        <v>3.75</v>
      </c>
      <c r="G21" s="37">
        <v>3.75</v>
      </c>
      <c r="H21" s="26"/>
      <c r="I21" s="26"/>
      <c r="J21" s="124"/>
      <c r="K21" s="124"/>
      <c r="L21" s="124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</row>
    <row r="22" spans="1:95" ht="29.25" customHeight="1">
      <c r="A22" s="26"/>
      <c r="B22" s="26"/>
      <c r="C22" s="26"/>
      <c r="D22" s="26"/>
      <c r="E22" s="26"/>
      <c r="F22" s="26"/>
      <c r="G22" s="26"/>
      <c r="H22" s="26"/>
      <c r="I22" s="26"/>
      <c r="J22" s="125" t="s">
        <v>45</v>
      </c>
      <c r="K22" s="125"/>
      <c r="L22" s="125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</row>
    <row r="23" spans="1:95">
      <c r="A23" s="11" t="s">
        <v>38</v>
      </c>
      <c r="B23" s="17"/>
      <c r="C23" s="14"/>
      <c r="D23" s="14"/>
      <c r="E23" s="14"/>
      <c r="F23" s="14"/>
      <c r="G23" s="1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</row>
    <row r="24" spans="1:95">
      <c r="A24" s="19" t="s">
        <v>46</v>
      </c>
      <c r="B24" s="21" t="s">
        <v>31</v>
      </c>
      <c r="C24" s="37">
        <v>38</v>
      </c>
      <c r="D24" s="38">
        <v>43</v>
      </c>
      <c r="E24" s="37">
        <v>43</v>
      </c>
      <c r="F24" s="37">
        <v>43</v>
      </c>
      <c r="G24" s="37">
        <v>43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</row>
    <row r="25" spans="1:95" ht="30.75">
      <c r="A25" s="3" t="s">
        <v>16</v>
      </c>
      <c r="B25" s="22" t="s">
        <v>34</v>
      </c>
      <c r="C25" s="2">
        <v>0</v>
      </c>
      <c r="D25" s="23">
        <v>0</v>
      </c>
      <c r="E25" s="2">
        <v>0</v>
      </c>
      <c r="F25" s="2">
        <v>0</v>
      </c>
      <c r="G25" s="2">
        <v>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</row>
    <row r="26" spans="1:95">
      <c r="A26" s="40">
        <f>B8-A16</f>
        <v>550</v>
      </c>
      <c r="B26" s="32"/>
      <c r="C26" s="32"/>
      <c r="D26" s="12"/>
      <c r="E26" s="12"/>
      <c r="F26" s="12"/>
      <c r="G26" s="1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</row>
    <row r="27" spans="1:95">
      <c r="A27" s="31"/>
      <c r="B27" s="32"/>
      <c r="C27" s="32"/>
      <c r="D27" s="12"/>
      <c r="E27" s="12"/>
      <c r="F27" s="12"/>
      <c r="G27" s="1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</row>
    <row r="28" spans="1:95">
      <c r="A28" s="31" t="s">
        <v>40</v>
      </c>
      <c r="B28" s="33"/>
      <c r="C28" s="33"/>
      <c r="D28" s="12"/>
      <c r="E28" s="12"/>
      <c r="F28" s="12"/>
      <c r="G28" s="1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</row>
    <row r="29" spans="1:95">
      <c r="A29" s="13">
        <v>5000</v>
      </c>
      <c r="B29" s="21" t="s">
        <v>42</v>
      </c>
      <c r="C29" s="38">
        <v>2.75</v>
      </c>
      <c r="D29" s="37">
        <v>2.75</v>
      </c>
      <c r="E29" s="37">
        <v>2.75</v>
      </c>
      <c r="F29" s="37">
        <v>2.75</v>
      </c>
      <c r="G29" s="37">
        <v>2.75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</row>
    <row r="30" spans="1:95">
      <c r="A30" s="24">
        <v>10000</v>
      </c>
      <c r="B30" s="21" t="s">
        <v>43</v>
      </c>
      <c r="C30" s="38">
        <v>2.75</v>
      </c>
      <c r="D30" s="37">
        <v>2.75</v>
      </c>
      <c r="E30" s="37">
        <v>2.75</v>
      </c>
      <c r="F30" s="37">
        <v>2.75</v>
      </c>
      <c r="G30" s="37">
        <v>2.75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</row>
    <row r="31" spans="1:95">
      <c r="A31" s="24">
        <v>15000</v>
      </c>
      <c r="B31" s="21" t="s">
        <v>44</v>
      </c>
      <c r="C31" s="38">
        <v>2.75</v>
      </c>
      <c r="D31" s="37">
        <v>2.75</v>
      </c>
      <c r="E31" s="37">
        <v>2.75</v>
      </c>
      <c r="F31" s="37">
        <v>2.75</v>
      </c>
      <c r="G31" s="37">
        <v>2.75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</row>
    <row r="32" spans="1:9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9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6">
    <mergeCell ref="J21:L21"/>
    <mergeCell ref="J22:L22"/>
    <mergeCell ref="I11:O11"/>
    <mergeCell ref="A1:B1"/>
    <mergeCell ref="A2:B2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50A9-0884-44AC-8AA5-5AA892507CF5}">
  <dimension ref="A1:BD38"/>
  <sheetViews>
    <sheetView showGridLines="0" workbookViewId="0">
      <selection activeCell="J26" sqref="J26"/>
    </sheetView>
  </sheetViews>
  <sheetFormatPr defaultRowHeight="15"/>
  <cols>
    <col min="1" max="1" width="30" bestFit="1" customWidth="1"/>
    <col min="2" max="6" width="14.7109375" bestFit="1" customWidth="1"/>
    <col min="9" max="9" width="24.5703125" bestFit="1" customWidth="1"/>
    <col min="10" max="14" width="14.7109375" bestFit="1" customWidth="1"/>
    <col min="22" max="26" width="13.85546875" bestFit="1" customWidth="1"/>
  </cols>
  <sheetData>
    <row r="1" spans="1:56" ht="18.75">
      <c r="A1" s="135" t="s">
        <v>47</v>
      </c>
      <c r="B1" s="135"/>
      <c r="C1" s="135"/>
      <c r="D1" s="135"/>
      <c r="E1" s="13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</row>
    <row r="2" spans="1:56">
      <c r="A2" s="26"/>
      <c r="B2" s="26"/>
      <c r="C2" s="26"/>
      <c r="D2" s="26"/>
      <c r="E2" s="26"/>
      <c r="F2" s="26"/>
      <c r="G2" s="26"/>
      <c r="H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6" ht="18.75">
      <c r="A3" s="136" t="s">
        <v>48</v>
      </c>
      <c r="B3" s="137"/>
      <c r="C3" s="137"/>
      <c r="D3" s="137"/>
      <c r="E3" s="137"/>
      <c r="F3" s="138"/>
      <c r="G3" s="26"/>
      <c r="H3" s="26"/>
      <c r="I3" s="136" t="s">
        <v>49</v>
      </c>
      <c r="J3" s="137"/>
      <c r="K3" s="137"/>
      <c r="L3" s="137"/>
      <c r="M3" s="137"/>
      <c r="N3" s="138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</row>
    <row r="4" spans="1:56">
      <c r="A4" s="77" t="s">
        <v>26</v>
      </c>
      <c r="B4" s="73"/>
      <c r="C4" s="73"/>
      <c r="D4" s="73"/>
      <c r="E4" s="73"/>
      <c r="F4" s="78"/>
      <c r="G4" s="26"/>
      <c r="H4" s="26"/>
      <c r="I4" s="77" t="s">
        <v>26</v>
      </c>
      <c r="J4" s="73"/>
      <c r="K4" s="73"/>
      <c r="L4" s="73"/>
      <c r="M4" s="73"/>
      <c r="N4" s="78"/>
      <c r="O4" s="26"/>
      <c r="P4" s="26"/>
      <c r="Q4" s="26"/>
      <c r="R4" s="26"/>
      <c r="S4" s="26"/>
      <c r="T4" s="26"/>
      <c r="U4" s="26"/>
      <c r="V4" s="74"/>
      <c r="W4" s="74">
        <f t="shared" ref="W4:Z4" si="0">$B$22</f>
        <v>1620495</v>
      </c>
      <c r="X4" s="74">
        <f t="shared" si="0"/>
        <v>1620495</v>
      </c>
      <c r="Y4" s="74">
        <f t="shared" si="0"/>
        <v>1620495</v>
      </c>
      <c r="Z4" s="74">
        <f t="shared" si="0"/>
        <v>1620495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</row>
    <row r="5" spans="1:56">
      <c r="A5" s="58" t="s">
        <v>25</v>
      </c>
      <c r="B5" s="21" cm="1">
        <f t="array" ref="B5">currentyear</f>
        <v>2026</v>
      </c>
      <c r="C5" s="21">
        <f>B5+1</f>
        <v>2027</v>
      </c>
      <c r="D5" s="21">
        <f t="shared" ref="D5:F5" si="1">C5+1</f>
        <v>2028</v>
      </c>
      <c r="E5" s="21">
        <f t="shared" si="1"/>
        <v>2029</v>
      </c>
      <c r="F5" s="21">
        <f t="shared" si="1"/>
        <v>2030</v>
      </c>
      <c r="G5" s="26"/>
      <c r="H5" s="26"/>
      <c r="I5" s="58" t="s">
        <v>25</v>
      </c>
      <c r="J5" s="21" cm="1">
        <f t="array" ref="J5">currentyear</f>
        <v>2026</v>
      </c>
      <c r="K5" s="21">
        <f>J5+1</f>
        <v>2027</v>
      </c>
      <c r="L5" s="21">
        <f t="shared" ref="L5:N5" si="2">K5+1</f>
        <v>2028</v>
      </c>
      <c r="M5" s="21">
        <f t="shared" si="2"/>
        <v>2029</v>
      </c>
      <c r="N5" s="21">
        <f t="shared" si="2"/>
        <v>2030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</row>
    <row r="6" spans="1:56">
      <c r="A6" s="21" t="s">
        <v>50</v>
      </c>
      <c r="B6" s="55" cm="1">
        <f t="array" ref="B6">num_accountsRS1</f>
        <v>2520</v>
      </c>
      <c r="C6" s="56" cm="1">
        <f t="array" ref="C6">ROUND(B6*(1+pop_growth_rate),0)</f>
        <v>2545</v>
      </c>
      <c r="D6" s="56" cm="1">
        <f t="array" ref="D6">ROUND(C6*(1+pop_growth_rate),0)</f>
        <v>2570</v>
      </c>
      <c r="E6" s="56" cm="1">
        <f t="array" ref="E6">ROUND(D6*(1+pop_growth_rate),0)</f>
        <v>2596</v>
      </c>
      <c r="F6" s="56" cm="1">
        <f t="array" ref="F6">ROUND(E6*(1+pop_growth_rate),0)</f>
        <v>2622</v>
      </c>
      <c r="G6" s="26"/>
      <c r="H6" s="26"/>
      <c r="I6" s="21" t="s">
        <v>50</v>
      </c>
      <c r="J6" s="55" cm="1">
        <f t="array" ref="J6">num_accountsRS1</f>
        <v>2520</v>
      </c>
      <c r="K6" s="56" cm="1">
        <f t="array" ref="K6">ROUND(J6 * (1+pop_growth_rate),0)</f>
        <v>2545</v>
      </c>
      <c r="L6" s="56" cm="1">
        <f t="array" ref="L6">ROUND(K6 * (1+pop_growth_rate),0)</f>
        <v>2570</v>
      </c>
      <c r="M6" s="56" cm="1">
        <f t="array" ref="M6">ROUND(L6 * (1+pop_growth_rate),0)</f>
        <v>2596</v>
      </c>
      <c r="N6" s="56" cm="1">
        <f t="array" ref="N6">ROUND(M6 * (1+pop_growth_rate),0)</f>
        <v>2622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</row>
    <row r="7" spans="1:56">
      <c r="A7" s="21" t="s">
        <v>51</v>
      </c>
      <c r="B7" s="52" cm="1">
        <f t="array" ref="B7:F7">base_chargeRS1 * 12 * RS1_num_accounts</f>
        <v>514080</v>
      </c>
      <c r="C7" s="49">
        <v>610800</v>
      </c>
      <c r="D7" s="49">
        <v>616800</v>
      </c>
      <c r="E7" s="49">
        <v>623040</v>
      </c>
      <c r="F7" s="49">
        <v>629280</v>
      </c>
      <c r="G7" s="26"/>
      <c r="H7" s="26"/>
      <c r="I7" s="54" t="s">
        <v>51</v>
      </c>
      <c r="J7" s="83" cm="1">
        <f t="array" ref="J7:N7">RS1_base_charge2026 * 12 * RS1_num_accounts</f>
        <v>514080</v>
      </c>
      <c r="K7" s="84">
        <v>519180</v>
      </c>
      <c r="L7" s="84">
        <v>524280</v>
      </c>
      <c r="M7" s="84">
        <v>529584</v>
      </c>
      <c r="N7" s="84">
        <v>534888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</row>
    <row r="8" spans="1:56">
      <c r="A8" s="21" t="s">
        <v>52</v>
      </c>
      <c r="B8" s="57" cm="1">
        <f t="array" ref="B8:B10">RS1_block_consumption2026 * RS1_vrates2026 *12</f>
        <v>370440</v>
      </c>
      <c r="C8" s="41" cm="1">
        <f t="array" ref="C8:C10">RS1_block_consumption2027 * RS1_vrates2027 *12</f>
        <v>320688</v>
      </c>
      <c r="D8" s="41" cm="1">
        <f t="array" ref="D8:D10">RS1_block_consumption2028 * RS1_vrates2028 *12</f>
        <v>377874</v>
      </c>
      <c r="E8" s="41" cm="1">
        <f t="array" ref="E8:E10">RS1_block_consumption2029 * RS1_vrates2029 *12</f>
        <v>381654</v>
      </c>
      <c r="F8" s="41" cm="1">
        <f t="array" ref="F8:F10">RS1_block_consumption2030 * RS1_vrates2030 *12</f>
        <v>440544</v>
      </c>
      <c r="G8" s="26"/>
      <c r="H8" s="26"/>
      <c r="I8" s="21" t="s">
        <v>52</v>
      </c>
      <c r="J8" s="57" cm="1">
        <f t="array" ref="J8:J10">RS1_block_consumption2026 * RS1_vrates2026 *12</f>
        <v>370440</v>
      </c>
      <c r="K8" s="57" cm="1">
        <f t="array" ref="K8:K10">RS1_block_consumption2027 * RS1_vrates2026 *12</f>
        <v>374136</v>
      </c>
      <c r="L8" s="57" cm="1">
        <f t="array" ref="L8:L10">RS1_block_consumption2028 * RS1_vrates2026 *12</f>
        <v>377874</v>
      </c>
      <c r="M8" s="57" cm="1">
        <f t="array" ref="M8:M10">RS1_block_consumption2029 * RS1_vrates2026 *12</f>
        <v>381654</v>
      </c>
      <c r="N8" s="57" cm="1">
        <f t="array" ref="N8:N10">RS1_block_consumption2030 * RS1_vrates2026 *12</f>
        <v>385476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</row>
    <row r="9" spans="1:56">
      <c r="A9" s="21" t="s">
        <v>53</v>
      </c>
      <c r="B9" s="57">
        <v>92610</v>
      </c>
      <c r="C9" s="41">
        <v>133620</v>
      </c>
      <c r="D9" s="41">
        <v>134970</v>
      </c>
      <c r="E9" s="41">
        <v>136320</v>
      </c>
      <c r="F9" s="41">
        <v>137670</v>
      </c>
      <c r="G9" s="26"/>
      <c r="H9" s="26"/>
      <c r="I9" s="21" t="s">
        <v>53</v>
      </c>
      <c r="J9" s="57">
        <v>92610</v>
      </c>
      <c r="K9" s="57">
        <v>93534</v>
      </c>
      <c r="L9" s="57">
        <v>94479</v>
      </c>
      <c r="M9" s="57">
        <v>95424</v>
      </c>
      <c r="N9" s="57">
        <v>96369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</row>
    <row r="10" spans="1:56">
      <c r="A10" s="21" t="s">
        <v>54</v>
      </c>
      <c r="B10" s="57">
        <v>13230</v>
      </c>
      <c r="C10" s="41">
        <v>26712</v>
      </c>
      <c r="D10" s="41">
        <v>28890</v>
      </c>
      <c r="E10" s="41">
        <v>29160</v>
      </c>
      <c r="F10" s="41">
        <v>29430</v>
      </c>
      <c r="G10" s="26"/>
      <c r="H10" s="26"/>
      <c r="I10" s="61" t="s">
        <v>54</v>
      </c>
      <c r="J10" s="64">
        <v>13230</v>
      </c>
      <c r="K10" s="64">
        <v>13356</v>
      </c>
      <c r="L10" s="64">
        <v>13482</v>
      </c>
      <c r="M10" s="64">
        <v>13608</v>
      </c>
      <c r="N10" s="64">
        <v>13734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</row>
    <row r="11" spans="1:56">
      <c r="A11" s="79" t="s">
        <v>55</v>
      </c>
      <c r="B11" s="80">
        <f>SUM(B7:B10)</f>
        <v>990360</v>
      </c>
      <c r="C11" s="80">
        <f t="shared" ref="C11:F11" si="3">SUM(C7:C10)</f>
        <v>1091820</v>
      </c>
      <c r="D11" s="80">
        <f t="shared" si="3"/>
        <v>1158534</v>
      </c>
      <c r="E11" s="80">
        <f t="shared" si="3"/>
        <v>1170174</v>
      </c>
      <c r="F11" s="80">
        <f t="shared" si="3"/>
        <v>1236924</v>
      </c>
      <c r="G11" s="26"/>
      <c r="H11" s="26"/>
      <c r="I11" s="42" t="s">
        <v>55</v>
      </c>
      <c r="J11" s="60">
        <f>SUM(J7:J10)</f>
        <v>990360</v>
      </c>
      <c r="K11" s="60">
        <f t="shared" ref="K11" si="4">SUM(K7:K10)</f>
        <v>1000206</v>
      </c>
      <c r="L11" s="60">
        <f t="shared" ref="L11" si="5">SUM(L7:L10)</f>
        <v>1010115</v>
      </c>
      <c r="M11" s="60">
        <f t="shared" ref="M11" si="6">SUM(M7:M10)</f>
        <v>1020270</v>
      </c>
      <c r="N11" s="60">
        <f t="shared" ref="N11" si="7">SUM(N7:N10)</f>
        <v>1030467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</row>
    <row r="12" spans="1:56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</row>
    <row r="13" spans="1:56">
      <c r="A13" s="81" t="s">
        <v>38</v>
      </c>
      <c r="B13" s="17"/>
      <c r="C13" s="17"/>
      <c r="D13" s="17"/>
      <c r="E13" s="17"/>
      <c r="F13" s="82"/>
      <c r="G13" s="26"/>
      <c r="H13" s="26"/>
      <c r="I13" s="7" t="s">
        <v>38</v>
      </c>
      <c r="J13" s="147"/>
      <c r="K13" s="147"/>
      <c r="L13" s="147"/>
      <c r="M13" s="147"/>
      <c r="N13" s="10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</row>
    <row r="14" spans="1:56">
      <c r="A14" s="21" t="s">
        <v>25</v>
      </c>
      <c r="B14" s="21" cm="1">
        <f t="array" ref="B14">currentyear</f>
        <v>2026</v>
      </c>
      <c r="C14" s="21">
        <f>B14+1</f>
        <v>2027</v>
      </c>
      <c r="D14" s="21">
        <f t="shared" ref="D14:F14" si="8">C14+1</f>
        <v>2028</v>
      </c>
      <c r="E14" s="21">
        <f t="shared" si="8"/>
        <v>2029</v>
      </c>
      <c r="F14" s="21">
        <f t="shared" si="8"/>
        <v>2030</v>
      </c>
      <c r="G14" s="26"/>
      <c r="H14" s="26"/>
      <c r="I14" s="54" t="s">
        <v>25</v>
      </c>
      <c r="J14" s="54" cm="1">
        <f t="array" ref="J14">currentyear</f>
        <v>2026</v>
      </c>
      <c r="K14" s="54">
        <f>J14+1</f>
        <v>2027</v>
      </c>
      <c r="L14" s="54">
        <f t="shared" ref="L14:N14" si="9">K14+1</f>
        <v>2028</v>
      </c>
      <c r="M14" s="54">
        <f t="shared" si="9"/>
        <v>2029</v>
      </c>
      <c r="N14" s="54">
        <f t="shared" si="9"/>
        <v>2030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</row>
    <row r="15" spans="1:56">
      <c r="A15" s="54" t="s">
        <v>50</v>
      </c>
      <c r="B15" s="55" cm="1">
        <f t="array" ref="B15">num_accountsRS2</f>
        <v>550</v>
      </c>
      <c r="C15" s="56" cm="1">
        <f t="array" ref="C15">ROUND(B15*(1+pop_growth_rate),0)</f>
        <v>556</v>
      </c>
      <c r="D15" s="56" cm="1">
        <f t="array" ref="D15">ROUND(C15*(1+pop_growth_rate),0)</f>
        <v>562</v>
      </c>
      <c r="E15" s="56" cm="1">
        <f t="array" ref="E15">ROUND(D15*(1+pop_growth_rate),0)</f>
        <v>568</v>
      </c>
      <c r="F15" s="56" cm="1">
        <f t="array" ref="F15">ROUND(E15*(1+pop_growth_rate),0)</f>
        <v>574</v>
      </c>
      <c r="G15" s="26"/>
      <c r="H15" s="26"/>
      <c r="I15" s="54" t="s">
        <v>50</v>
      </c>
      <c r="J15" s="55" cm="1">
        <f t="array" ref="J15">num_accountsRS2</f>
        <v>550</v>
      </c>
      <c r="K15" s="56" cm="1">
        <f t="array" ref="K15">ROUND(J15*(1+pop_growth_rate),0)</f>
        <v>556</v>
      </c>
      <c r="L15" s="56" cm="1">
        <f t="array" ref="L15">ROUND(K15*(1+pop_growth_rate),0)</f>
        <v>562</v>
      </c>
      <c r="M15" s="56" cm="1">
        <f t="array" ref="M15">ROUND(L15*(1+pop_growth_rate),0)</f>
        <v>568</v>
      </c>
      <c r="N15" s="56" cm="1">
        <f t="array" ref="N15">ROUND(M15*(1+pop_growth_rate),0)</f>
        <v>574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</row>
    <row r="16" spans="1:56">
      <c r="A16" s="54" t="s">
        <v>51</v>
      </c>
      <c r="B16" s="83" cm="1">
        <f t="array" ref="B16:F16">base_chargeRS2 * 12 * RS2_num_accounts</f>
        <v>250800</v>
      </c>
      <c r="C16" s="84">
        <v>286896</v>
      </c>
      <c r="D16" s="84">
        <v>289992</v>
      </c>
      <c r="E16" s="84">
        <v>293088</v>
      </c>
      <c r="F16" s="84">
        <v>296184</v>
      </c>
      <c r="G16" s="26"/>
      <c r="H16" s="26"/>
      <c r="I16" s="21" t="s">
        <v>51</v>
      </c>
      <c r="J16" s="52" cm="1">
        <f t="array" ref="J16:N16">RS2_base_charge2026 * 12 * RS2_num_accounts</f>
        <v>250800</v>
      </c>
      <c r="K16" s="49">
        <v>253536</v>
      </c>
      <c r="L16" s="49">
        <v>256272</v>
      </c>
      <c r="M16" s="49">
        <v>259008</v>
      </c>
      <c r="N16" s="49">
        <v>261744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</row>
    <row r="17" spans="1:56">
      <c r="A17" s="21" t="s">
        <v>52</v>
      </c>
      <c r="B17" s="53" cm="1">
        <f t="array" ref="B17:B19">RS2_block_consumption2026 * RS2_vrates2026 *12</f>
        <v>181500</v>
      </c>
      <c r="C17" s="50" cm="1">
        <f t="array" ref="C17:C19">RS2_block_consumption2027 * RS2_vrates2027 *12</f>
        <v>183315</v>
      </c>
      <c r="D17" s="50" cm="1">
        <f t="array" ref="D17:D19">RS2_block_consumption2028 * RS2_vrates2028 *12</f>
        <v>185163</v>
      </c>
      <c r="E17" s="50" cm="1">
        <f t="array" ref="E17:E19">RS2_block_consumption2029 * RS2_vrates2029 *12</f>
        <v>187011</v>
      </c>
      <c r="F17" s="50" cm="1">
        <f t="array" ref="F17:F19">RS2_block_consumption2030 * RS2_vrates2030 *12</f>
        <v>188892</v>
      </c>
      <c r="G17" s="26"/>
      <c r="H17" s="26"/>
      <c r="I17" s="21" t="s">
        <v>52</v>
      </c>
      <c r="J17" s="53" cm="1">
        <f t="array" ref="J17:J19">RS2_block_consumption2026 * RS2_vrates2026 *12</f>
        <v>181500</v>
      </c>
      <c r="K17" s="53" cm="1">
        <f t="array" ref="K17:K19">RS2_block_consumption2027 * RS2_vrates2026 *12</f>
        <v>183315</v>
      </c>
      <c r="L17" s="53" cm="1">
        <f t="array" ref="L17:L19">RS2_block_consumption2028 * RS2_vrates2026 *12</f>
        <v>185163</v>
      </c>
      <c r="M17" s="53" cm="1">
        <f t="array" ref="M17:M19">RS2_block_consumption2029 * RS2_vrates2026 *12</f>
        <v>187011</v>
      </c>
      <c r="N17" s="53" cm="1">
        <f t="array" ref="N17:N19">RS2_block_consumption2030 * RS2_vrates2026 *12</f>
        <v>188892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</row>
    <row r="18" spans="1:56">
      <c r="A18" s="21" t="s">
        <v>53</v>
      </c>
      <c r="B18" s="53">
        <v>165000</v>
      </c>
      <c r="C18" s="50">
        <v>166650</v>
      </c>
      <c r="D18" s="50">
        <v>168333</v>
      </c>
      <c r="E18" s="50">
        <v>170016</v>
      </c>
      <c r="F18" s="50">
        <v>171732</v>
      </c>
      <c r="G18" s="26"/>
      <c r="H18" s="26"/>
      <c r="I18" s="21" t="s">
        <v>53</v>
      </c>
      <c r="J18" s="53">
        <v>165000</v>
      </c>
      <c r="K18" s="53">
        <v>166650</v>
      </c>
      <c r="L18" s="53">
        <v>168333</v>
      </c>
      <c r="M18" s="53">
        <v>170016</v>
      </c>
      <c r="N18" s="53">
        <v>171732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</row>
    <row r="19" spans="1:56">
      <c r="A19" s="61" t="s">
        <v>54</v>
      </c>
      <c r="B19" s="62">
        <v>32835</v>
      </c>
      <c r="C19" s="63">
        <v>33165</v>
      </c>
      <c r="D19" s="63">
        <v>33495</v>
      </c>
      <c r="E19" s="63">
        <v>33825</v>
      </c>
      <c r="F19" s="63">
        <v>34155</v>
      </c>
      <c r="G19" s="26"/>
      <c r="H19" s="26"/>
      <c r="I19" s="61" t="s">
        <v>54</v>
      </c>
      <c r="J19" s="62">
        <v>32835</v>
      </c>
      <c r="K19" s="62">
        <v>33165</v>
      </c>
      <c r="L19" s="62">
        <v>33495</v>
      </c>
      <c r="M19" s="62">
        <v>33825</v>
      </c>
      <c r="N19" s="62">
        <v>34155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</row>
    <row r="20" spans="1:56">
      <c r="A20" s="42" t="s">
        <v>56</v>
      </c>
      <c r="B20" s="60">
        <f>SUM(B16:B19)</f>
        <v>630135</v>
      </c>
      <c r="C20" s="60">
        <f t="shared" ref="C20:F20" si="10">SUM(C16:C19)</f>
        <v>670026</v>
      </c>
      <c r="D20" s="60">
        <f t="shared" si="10"/>
        <v>676983</v>
      </c>
      <c r="E20" s="60">
        <f t="shared" si="10"/>
        <v>683940</v>
      </c>
      <c r="F20" s="60">
        <f t="shared" si="10"/>
        <v>690963</v>
      </c>
      <c r="G20" s="26"/>
      <c r="H20" s="26"/>
      <c r="I20" s="42" t="s">
        <v>56</v>
      </c>
      <c r="J20" s="60">
        <f>SUM(J16:J19)</f>
        <v>630135</v>
      </c>
      <c r="K20" s="60">
        <f t="shared" ref="K20" si="11">SUM(K16:K19)</f>
        <v>636666</v>
      </c>
      <c r="L20" s="60">
        <f t="shared" ref="L20" si="12">SUM(L16:L19)</f>
        <v>643263</v>
      </c>
      <c r="M20" s="60">
        <f t="shared" ref="M20" si="13">SUM(M16:M19)</f>
        <v>649860</v>
      </c>
      <c r="N20" s="60">
        <f t="shared" ref="N20" si="14">SUM(N16:N19)</f>
        <v>656523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 spans="1:56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 spans="1:56" ht="15.75">
      <c r="A22" s="47" t="s">
        <v>57</v>
      </c>
      <c r="B22" s="59">
        <f>SUM(B20+B11)</f>
        <v>1620495</v>
      </c>
      <c r="C22" s="59">
        <f t="shared" ref="C22:F22" si="15">SUM(C20+C11)</f>
        <v>1761846</v>
      </c>
      <c r="D22" s="59">
        <f t="shared" si="15"/>
        <v>1835517</v>
      </c>
      <c r="E22" s="59">
        <f t="shared" si="15"/>
        <v>1854114</v>
      </c>
      <c r="F22" s="59">
        <f t="shared" si="15"/>
        <v>1927887</v>
      </c>
      <c r="G22" s="26"/>
      <c r="H22" s="26"/>
      <c r="I22" s="47" t="s">
        <v>57</v>
      </c>
      <c r="J22" s="59">
        <f>SUM(J20+J11)</f>
        <v>1620495</v>
      </c>
      <c r="K22" s="59">
        <f t="shared" ref="K22:N22" si="16">SUM(K20+K11)</f>
        <v>1636872</v>
      </c>
      <c r="L22" s="59">
        <f t="shared" si="16"/>
        <v>1653378</v>
      </c>
      <c r="M22" s="59">
        <f t="shared" si="16"/>
        <v>1670130</v>
      </c>
      <c r="N22" s="59">
        <f t="shared" si="16"/>
        <v>1686990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 spans="1:56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</row>
    <row r="24" spans="1:5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</row>
    <row r="25" spans="1:5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</row>
    <row r="26" spans="1:5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</row>
    <row r="27" spans="1:5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</row>
    <row r="28" spans="1:5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</row>
    <row r="29" spans="1:56">
      <c r="A29" s="26"/>
      <c r="B29" s="26"/>
      <c r="C29" s="26"/>
      <c r="D29" s="26"/>
      <c r="E29" s="26"/>
      <c r="F29" s="26"/>
      <c r="G29" s="26"/>
      <c r="H29" s="26"/>
      <c r="I29" s="26"/>
    </row>
    <row r="30" spans="1:56">
      <c r="A30" s="26"/>
      <c r="B30" s="26"/>
      <c r="C30" s="26"/>
      <c r="D30" s="26"/>
      <c r="E30" s="26"/>
      <c r="F30" s="26"/>
      <c r="G30" s="26"/>
      <c r="H30" s="26"/>
      <c r="I30" s="26"/>
    </row>
    <row r="31" spans="1:56">
      <c r="A31" s="26"/>
      <c r="B31" s="26"/>
      <c r="C31" s="26"/>
      <c r="D31" s="26"/>
      <c r="E31" s="26"/>
      <c r="F31" s="26"/>
      <c r="G31" s="26"/>
      <c r="H31" s="26"/>
      <c r="I31" s="26"/>
    </row>
    <row r="32" spans="1:56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26"/>
      <c r="B34" s="26"/>
      <c r="C34" s="26"/>
      <c r="D34" s="26"/>
      <c r="E34" s="26"/>
      <c r="F34" s="26"/>
      <c r="G34" s="26"/>
      <c r="H34" s="26"/>
      <c r="I34" s="26"/>
    </row>
    <row r="35" spans="1:9">
      <c r="A35" s="26"/>
      <c r="B35" s="26"/>
      <c r="C35" s="26"/>
      <c r="D35" s="26"/>
      <c r="E35" s="26"/>
      <c r="F35" s="26"/>
      <c r="G35" s="26"/>
      <c r="H35" s="26"/>
      <c r="I35" s="26"/>
    </row>
    <row r="36" spans="1:9">
      <c r="A36" s="26"/>
      <c r="B36" s="26"/>
      <c r="C36" s="26"/>
      <c r="D36" s="26"/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26"/>
      <c r="B38" s="26"/>
      <c r="C38" s="26"/>
      <c r="D38" s="26"/>
      <c r="E38" s="26"/>
      <c r="F38" s="26"/>
      <c r="G38" s="26"/>
      <c r="H38" s="26"/>
      <c r="I38" s="26"/>
    </row>
  </sheetData>
  <sheetProtection sheet="1" objects="1" scenarios="1"/>
  <mergeCells count="3">
    <mergeCell ref="A1:E1"/>
    <mergeCell ref="I3:N3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4F15-E799-41AA-BBC0-A7B3D8B94A35}">
  <dimension ref="A1:Q33"/>
  <sheetViews>
    <sheetView showGridLines="0" workbookViewId="0">
      <selection activeCell="H24" sqref="H24"/>
    </sheetView>
  </sheetViews>
  <sheetFormatPr defaultRowHeight="15"/>
  <cols>
    <col min="1" max="1" width="30.5703125" bestFit="1" customWidth="1"/>
    <col min="2" max="2" width="11.85546875" bestFit="1" customWidth="1"/>
    <col min="3" max="6" width="12.140625" bestFit="1" customWidth="1"/>
    <col min="7" max="7" width="22.28515625" bestFit="1" customWidth="1"/>
  </cols>
  <sheetData>
    <row r="1" spans="1:17" ht="18.75">
      <c r="A1" s="135" t="s">
        <v>58</v>
      </c>
      <c r="B1" s="135"/>
      <c r="C1" s="135"/>
      <c r="D1" s="135"/>
      <c r="E1" s="135"/>
      <c r="F1" s="135"/>
      <c r="G1" s="14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5.75">
      <c r="A3" s="139" t="s">
        <v>59</v>
      </c>
      <c r="B3" s="140"/>
      <c r="C3" s="140"/>
      <c r="D3" s="140"/>
      <c r="E3" s="140"/>
      <c r="F3" s="141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>
      <c r="A4" s="3" t="s">
        <v>25</v>
      </c>
      <c r="B4" s="73">
        <v>2026</v>
      </c>
      <c r="C4" s="73">
        <f>B4+1</f>
        <v>2027</v>
      </c>
      <c r="D4" s="73">
        <f t="shared" ref="D4:F4" si="0">C4+1</f>
        <v>2028</v>
      </c>
      <c r="E4" s="73">
        <f t="shared" si="0"/>
        <v>2029</v>
      </c>
      <c r="F4" s="78">
        <f t="shared" si="0"/>
        <v>2030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>
      <c r="A5" s="3" t="s">
        <v>27</v>
      </c>
      <c r="B5" s="45" cm="1">
        <f t="array" ref="B5:B11">expenses_value</f>
        <v>725000</v>
      </c>
      <c r="C5" s="41" cm="1">
        <f t="array" ref="C5">ROUND(B5*(1+inflation_rate),0)</f>
        <v>746750</v>
      </c>
      <c r="D5" s="41" cm="1">
        <f t="array" ref="D5">ROUND(C5*(1+inflation_rate),0)</f>
        <v>769153</v>
      </c>
      <c r="E5" s="41" cm="1">
        <f t="array" ref="E5">ROUND(D5*(1+inflation_rate),0)</f>
        <v>792228</v>
      </c>
      <c r="F5" s="41" cm="1">
        <f t="array" ref="F5">ROUND(E5*(1+inflation_rate),0)</f>
        <v>815995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>
      <c r="A6" s="3" t="s">
        <v>29</v>
      </c>
      <c r="B6" s="46">
        <v>135000</v>
      </c>
      <c r="C6" s="41" cm="1">
        <f t="array" ref="C6">ROUND(B6*(1+inflation_rate),0)</f>
        <v>139050</v>
      </c>
      <c r="D6" s="41" cm="1">
        <f t="array" ref="D6">ROUND(C6*(1+inflation_rate),0)</f>
        <v>143222</v>
      </c>
      <c r="E6" s="41" cm="1">
        <f t="array" ref="E6">ROUND(D6*(1+inflation_rate),0)</f>
        <v>147519</v>
      </c>
      <c r="F6" s="41" cm="1">
        <f t="array" ref="F6">ROUND(E6*(1+inflation_rate),0)</f>
        <v>151945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>
      <c r="A7" s="73" t="s">
        <v>33</v>
      </c>
      <c r="B7" s="41">
        <v>64000</v>
      </c>
      <c r="C7" s="57" cm="1">
        <f t="array" ref="C7">ROUND(B7*(1+inflation_rate),0)</f>
        <v>65920</v>
      </c>
      <c r="D7" s="41" cm="1">
        <f t="array" ref="D7">ROUND(C7*(1+inflation_rate),0)</f>
        <v>67898</v>
      </c>
      <c r="E7" s="41" cm="1">
        <f t="array" ref="E7">ROUND(D7*(1+inflation_rate),0)</f>
        <v>69935</v>
      </c>
      <c r="F7" s="41" cm="1">
        <f t="array" ref="F7">ROUND(E7*(1+inflation_rate),0)</f>
        <v>72033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>
      <c r="A8" s="73" t="s">
        <v>36</v>
      </c>
      <c r="B8" s="41">
        <v>130500</v>
      </c>
      <c r="C8" s="72" cm="1">
        <f t="array" ref="C8">ROUND(B8*(1+inflation_rate),0)</f>
        <v>134415</v>
      </c>
      <c r="D8" s="86" cm="1">
        <f t="array" ref="D8">ROUND(C8*(1+inflation_rate),0)</f>
        <v>138447</v>
      </c>
      <c r="E8" s="86" cm="1">
        <f t="array" ref="E8">ROUND(D8*(1+inflation_rate),0)</f>
        <v>142600</v>
      </c>
      <c r="F8" s="86" cm="1">
        <f t="array" ref="F8">ROUND(E8*(1+inflation_rate),0)</f>
        <v>146878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>
      <c r="A9" s="1" t="s">
        <v>37</v>
      </c>
      <c r="B9" s="85">
        <v>52000</v>
      </c>
      <c r="C9" s="41" cm="1">
        <f t="array" ref="C9">ROUND(B9*(1+inflation_rate),0)</f>
        <v>53560</v>
      </c>
      <c r="D9" s="41" cm="1">
        <f t="array" ref="D9">ROUND(C9*(1+inflation_rate),0)</f>
        <v>55167</v>
      </c>
      <c r="E9" s="41" cm="1">
        <f t="array" ref="E9">ROUND(D9*(1+inflation_rate),0)</f>
        <v>56822</v>
      </c>
      <c r="F9" s="41" cm="1">
        <f t="array" ref="F9">ROUND(E9*(1+inflation_rate),0)</f>
        <v>58527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>
      <c r="A10" s="1" t="s">
        <v>39</v>
      </c>
      <c r="B10" s="45">
        <v>250000</v>
      </c>
      <c r="C10" s="41" cm="1">
        <f t="array" ref="C10">ROUND(B10*(1+inflation_rate),0)</f>
        <v>257500</v>
      </c>
      <c r="D10" s="41" cm="1">
        <f t="array" ref="D10">ROUND(C10*(1+inflation_rate),0)</f>
        <v>265225</v>
      </c>
      <c r="E10" s="41" cm="1">
        <f t="array" ref="E10">ROUND(D10*(1+inflation_rate),0)</f>
        <v>273182</v>
      </c>
      <c r="F10" s="41" cm="1">
        <f t="array" ref="F10">ROUND(E10*(1+inflation_rate),0)</f>
        <v>281377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>
      <c r="A11" s="1" t="s">
        <v>41</v>
      </c>
      <c r="B11" s="46">
        <v>144000</v>
      </c>
      <c r="C11" s="44" cm="1">
        <f t="array" ref="C11">ROUND(B11*(1+inflation_rate),0)</f>
        <v>148320</v>
      </c>
      <c r="D11" s="44" cm="1">
        <f t="array" ref="D11">ROUND(C11*(1+inflation_rate),0)</f>
        <v>152770</v>
      </c>
      <c r="E11" s="44" cm="1">
        <f t="array" ref="E11">ROUND(D11*(1+inflation_rate),0)</f>
        <v>157353</v>
      </c>
      <c r="F11" s="44" cm="1">
        <f t="array" ref="F11">ROUND(E11*(1+inflation_rate),0)</f>
        <v>162074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>
      <c r="A12" s="42" t="s">
        <v>60</v>
      </c>
      <c r="B12" s="43">
        <f>SUM(B5:B11)</f>
        <v>1500500</v>
      </c>
      <c r="C12" s="43">
        <f t="shared" ref="C12:F12" si="1">SUM(C5:C11)</f>
        <v>1545515</v>
      </c>
      <c r="D12" s="43">
        <f t="shared" si="1"/>
        <v>1591882</v>
      </c>
      <c r="E12" s="43">
        <f t="shared" si="1"/>
        <v>1639639</v>
      </c>
      <c r="F12" s="43">
        <f t="shared" si="1"/>
        <v>1688829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5.75">
      <c r="A14" s="139" t="s">
        <v>61</v>
      </c>
      <c r="B14" s="140"/>
      <c r="C14" s="140"/>
      <c r="D14" s="140"/>
      <c r="E14" s="140"/>
      <c r="F14" s="141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>
      <c r="A15" s="87" t="s">
        <v>25</v>
      </c>
      <c r="B15" s="73">
        <v>2026</v>
      </c>
      <c r="C15" s="73">
        <f>B15+1</f>
        <v>2027</v>
      </c>
      <c r="D15" s="73">
        <f>C15+1</f>
        <v>2028</v>
      </c>
      <c r="E15" s="73">
        <f>D15+1</f>
        <v>2029</v>
      </c>
      <c r="F15" s="78">
        <f>E15+1</f>
        <v>2030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17">
      <c r="A16" s="88" t="s">
        <v>61</v>
      </c>
      <c r="B16" s="89" cm="1">
        <f t="array" ref="B16:F16">debt_service_values</f>
        <v>165000</v>
      </c>
      <c r="C16" s="89">
        <v>165000</v>
      </c>
      <c r="D16" s="89">
        <v>175000</v>
      </c>
      <c r="E16" s="89">
        <v>175000</v>
      </c>
      <c r="F16" s="89">
        <v>175000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.75">
      <c r="A18" s="47" t="s">
        <v>62</v>
      </c>
      <c r="B18" s="48">
        <f>SUM(B16+B12)</f>
        <v>1665500</v>
      </c>
      <c r="C18" s="48">
        <f t="shared" ref="C18:F18" si="2">SUM(C16+C12)</f>
        <v>1710515</v>
      </c>
      <c r="D18" s="48">
        <f t="shared" si="2"/>
        <v>1766882</v>
      </c>
      <c r="E18" s="48">
        <f t="shared" si="2"/>
        <v>1814639</v>
      </c>
      <c r="F18" s="48">
        <f t="shared" si="2"/>
        <v>1863829</v>
      </c>
      <c r="G18" s="26" t="s">
        <v>63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</sheetData>
  <sheetProtection sheet="1" objects="1" scenarios="1"/>
  <mergeCells count="3">
    <mergeCell ref="A3:F3"/>
    <mergeCell ref="A14:F14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71A9-E3E6-4702-9C2B-B190BAB0F6FB}">
  <dimension ref="A1:AP31"/>
  <sheetViews>
    <sheetView showGridLines="0" tabSelected="1" workbookViewId="0">
      <selection activeCell="A12" sqref="A12"/>
    </sheetView>
  </sheetViews>
  <sheetFormatPr defaultRowHeight="15"/>
  <cols>
    <col min="1" max="1" width="31.42578125" customWidth="1"/>
    <col min="2" max="2" width="13.28515625" bestFit="1" customWidth="1"/>
    <col min="3" max="3" width="17" bestFit="1" customWidth="1"/>
    <col min="4" max="4" width="13.28515625" bestFit="1" customWidth="1"/>
    <col min="5" max="5" width="13.42578125" bestFit="1" customWidth="1"/>
    <col min="6" max="6" width="13.28515625" bestFit="1" customWidth="1"/>
  </cols>
  <sheetData>
    <row r="1" spans="1:42" ht="18.75">
      <c r="A1" s="135" t="s">
        <v>64</v>
      </c>
      <c r="B1" s="135"/>
      <c r="C1" s="135"/>
      <c r="D1" s="135"/>
      <c r="E1" s="135"/>
      <c r="F1" s="135"/>
      <c r="G1" s="146"/>
      <c r="H1" s="146"/>
      <c r="I1" s="26"/>
      <c r="J1" s="26"/>
      <c r="K1" s="26"/>
      <c r="L1" s="26"/>
      <c r="M1" s="26"/>
      <c r="N1" s="26"/>
      <c r="O1" s="26"/>
      <c r="P1" s="26"/>
    </row>
    <row r="2" spans="1:42" ht="18.75">
      <c r="A2" s="101"/>
      <c r="B2" s="101"/>
      <c r="C2" s="101"/>
      <c r="D2" s="101"/>
      <c r="E2" s="101"/>
      <c r="F2" s="101"/>
      <c r="G2" s="101"/>
      <c r="H2" s="101"/>
      <c r="I2" s="26"/>
      <c r="J2" s="26"/>
      <c r="K2" s="26"/>
      <c r="L2" s="26"/>
      <c r="M2" s="26"/>
      <c r="N2" s="26"/>
      <c r="O2" s="26"/>
      <c r="P2" s="26"/>
    </row>
    <row r="3" spans="1:42">
      <c r="A3" s="58" t="s">
        <v>25</v>
      </c>
      <c r="B3" s="61" cm="1">
        <f t="array" ref="B3">currentyear</f>
        <v>2026</v>
      </c>
      <c r="C3" s="61">
        <f>B3+1</f>
        <v>2027</v>
      </c>
      <c r="D3" s="61">
        <f t="shared" ref="D3:F3" si="0">C3+1</f>
        <v>2028</v>
      </c>
      <c r="E3" s="61">
        <f t="shared" si="0"/>
        <v>2029</v>
      </c>
      <c r="F3" s="61">
        <f t="shared" si="0"/>
        <v>2030</v>
      </c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42">
      <c r="A4" s="67" t="s">
        <v>65</v>
      </c>
      <c r="B4" s="41" cm="1">
        <f t="array" ref="B4:F4">total_operating_revenue_row</f>
        <v>1620495</v>
      </c>
      <c r="C4" s="41">
        <v>1761846</v>
      </c>
      <c r="D4" s="41">
        <v>1835517</v>
      </c>
      <c r="E4" s="41">
        <v>1854114</v>
      </c>
      <c r="F4" s="41">
        <v>1927887</v>
      </c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42">
      <c r="A5" s="67" t="s">
        <v>62</v>
      </c>
      <c r="B5" s="41" cm="1">
        <f t="array" ref="B5:F5">total_cost_of_service_row</f>
        <v>1665500</v>
      </c>
      <c r="C5" s="41">
        <v>1710515</v>
      </c>
      <c r="D5" s="41">
        <v>1766882</v>
      </c>
      <c r="E5" s="41">
        <v>1814639</v>
      </c>
      <c r="F5" s="41">
        <v>1863829</v>
      </c>
      <c r="G5" s="26"/>
      <c r="H5" s="26"/>
      <c r="I5" s="26"/>
      <c r="J5" s="26"/>
      <c r="K5" s="26"/>
      <c r="L5" s="26"/>
      <c r="M5" s="26"/>
      <c r="N5" s="26"/>
      <c r="O5" s="26"/>
      <c r="P5" s="26"/>
      <c r="AL5" s="68" cm="1">
        <f t="array" ref="AL5">target_dscr</f>
        <v>1.1499999999999999</v>
      </c>
      <c r="AM5" s="68" cm="1">
        <f t="array" ref="AM5">target_dscr</f>
        <v>1.1499999999999999</v>
      </c>
      <c r="AN5" s="68" cm="1">
        <f t="array" ref="AN5">target_dscr</f>
        <v>1.1499999999999999</v>
      </c>
      <c r="AO5" s="68" cm="1">
        <f t="array" ref="AO5">target_dscr</f>
        <v>1.1499999999999999</v>
      </c>
      <c r="AP5" s="68" cm="1">
        <f t="array" ref="AP5">target_dscr</f>
        <v>1.1499999999999999</v>
      </c>
    </row>
    <row r="6" spans="1:42">
      <c r="A6" s="67" t="s">
        <v>66</v>
      </c>
      <c r="B6" s="41">
        <f>B4-B5</f>
        <v>-45005</v>
      </c>
      <c r="C6" s="41">
        <f t="shared" ref="C6:F6" si="1">C4-C5</f>
        <v>51331</v>
      </c>
      <c r="D6" s="41">
        <f t="shared" si="1"/>
        <v>68635</v>
      </c>
      <c r="E6" s="41">
        <f t="shared" si="1"/>
        <v>39475</v>
      </c>
      <c r="F6" s="41">
        <f t="shared" si="1"/>
        <v>64058</v>
      </c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42">
      <c r="A7" s="71" t="s">
        <v>67</v>
      </c>
      <c r="B7" s="41">
        <f>B6</f>
        <v>-45005</v>
      </c>
      <c r="C7" s="41">
        <f>B7+C6</f>
        <v>6326</v>
      </c>
      <c r="D7" s="41">
        <f t="shared" ref="D7:F7" si="2">C7+D6</f>
        <v>74961</v>
      </c>
      <c r="E7" s="41">
        <f t="shared" si="2"/>
        <v>114436</v>
      </c>
      <c r="F7" s="41">
        <f t="shared" si="2"/>
        <v>178494</v>
      </c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42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42">
      <c r="A9" s="58" t="s">
        <v>25</v>
      </c>
      <c r="B9" s="61" cm="1">
        <f t="array" ref="B9">currentyear</f>
        <v>2026</v>
      </c>
      <c r="C9" s="61">
        <f>B9+1</f>
        <v>2027</v>
      </c>
      <c r="D9" s="61">
        <f t="shared" ref="D9:F9" si="3">C9+1</f>
        <v>2028</v>
      </c>
      <c r="E9" s="61">
        <f t="shared" si="3"/>
        <v>2029</v>
      </c>
      <c r="F9" s="61">
        <f t="shared" si="3"/>
        <v>2030</v>
      </c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42">
      <c r="A10" s="3" t="s">
        <v>68</v>
      </c>
      <c r="B10" s="41" cm="1">
        <f t="array" ref="B10:F10">total_operating_revenue_row - total_operating_expenses</f>
        <v>119995</v>
      </c>
      <c r="C10" s="41">
        <v>216331</v>
      </c>
      <c r="D10" s="41">
        <v>243635</v>
      </c>
      <c r="E10" s="41">
        <v>214475</v>
      </c>
      <c r="F10" s="41">
        <v>239058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42">
      <c r="A11" s="3" t="s">
        <v>61</v>
      </c>
      <c r="B11" s="41" cm="1">
        <f t="array" ref="B11:F11">debt_service_values</f>
        <v>165000</v>
      </c>
      <c r="C11" s="41">
        <v>165000</v>
      </c>
      <c r="D11" s="41">
        <v>175000</v>
      </c>
      <c r="E11" s="41">
        <v>175000</v>
      </c>
      <c r="F11" s="41">
        <v>175000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42" ht="15.75" customHeight="1">
      <c r="A12" s="67" t="s">
        <v>69</v>
      </c>
      <c r="B12" s="148">
        <f>B10/B11</f>
        <v>0.72724242424242425</v>
      </c>
      <c r="C12" s="148">
        <f t="shared" ref="C12:F12" si="4">C10/C11</f>
        <v>1.3110969696969696</v>
      </c>
      <c r="D12" s="148">
        <f t="shared" si="4"/>
        <v>1.3922000000000001</v>
      </c>
      <c r="E12" s="148">
        <f t="shared" si="4"/>
        <v>1.2255714285714285</v>
      </c>
      <c r="F12" s="148">
        <f t="shared" si="4"/>
        <v>1.3660457142857143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42">
      <c r="A13" s="69" t="s">
        <v>70</v>
      </c>
      <c r="B13" s="149" t="str" cm="1">
        <f t="array" ref="B13">IF(B12&gt;=target_dscr, "Sufficient", "Insufficient")</f>
        <v>Insufficient</v>
      </c>
      <c r="C13" s="149" t="str" cm="1">
        <f t="array" ref="C13">IF(C12&gt;=target_dscr, "Sufficient", "Insufficient")</f>
        <v>Sufficient</v>
      </c>
      <c r="D13" s="149" t="str" cm="1">
        <f t="array" ref="D13">IF(D12&gt;=target_dscr, "Sufficient", "Insufficient")</f>
        <v>Sufficient</v>
      </c>
      <c r="E13" s="149" t="str" cm="1">
        <f t="array" ref="E13">IF(E12&gt;=target_dscr, "Sufficient", "Insufficient")</f>
        <v>Sufficient</v>
      </c>
      <c r="F13" s="149" t="str" cm="1">
        <f t="array" ref="F13">IF(F12&gt;=target_dscr, "Sufficient", "Insufficient")</f>
        <v>Sufficient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42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42">
      <c r="A15" s="21" t="s">
        <v>71</v>
      </c>
      <c r="B15" s="21" t="s">
        <v>72</v>
      </c>
      <c r="C15" s="21" t="s">
        <v>73</v>
      </c>
      <c r="D15" s="21" t="s">
        <v>74</v>
      </c>
      <c r="E15" s="104" t="s">
        <v>75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42">
      <c r="A16" s="21" t="str" cm="1">
        <f t="array" ref="A16">rate_structure_1</f>
        <v>Residential water, inside</v>
      </c>
      <c r="B16" s="49" cm="1">
        <f t="array" ref="B16">RS1_base_charge2026</f>
        <v>17</v>
      </c>
      <c r="C16" s="49" cm="1">
        <f t="array" ref="C16">ROUND(SUM(RS1_block_consumption2026 * RS1_vrates2026)/num_accountsRS1,2)</f>
        <v>15.75</v>
      </c>
      <c r="D16" s="49">
        <f>B16+C16</f>
        <v>32.75</v>
      </c>
      <c r="E16" s="52" cm="1">
        <f t="array" ref="E16">((D16*num_accountsRS1) + (D17*num_accountsRS2)) / num_accounts</f>
        <v>43.98827361563518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>
      <c r="A17" s="21" t="str" cm="1">
        <f t="array" ref="A17">rate_structure_2</f>
        <v>Commerical, inside</v>
      </c>
      <c r="B17" s="49" cm="1">
        <f t="array" ref="B17">RS2_base_charge2026</f>
        <v>38</v>
      </c>
      <c r="C17" s="49" cm="1">
        <f t="array" ref="C17">ROUND(SUM(RS2_block_consumption2026 * RS2_vrates2026)/num_accountsRS2,2)</f>
        <v>57.48</v>
      </c>
      <c r="D17" s="49">
        <f>B17+C17</f>
        <v>95.47999999999999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>
      <c r="A19" s="21" t="s">
        <v>76</v>
      </c>
      <c r="B19" s="21" t="s">
        <v>72</v>
      </c>
      <c r="C19" s="21" t="s">
        <v>73</v>
      </c>
      <c r="D19" s="21" t="s">
        <v>74</v>
      </c>
      <c r="E19" s="104" t="s">
        <v>75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>
      <c r="A20" s="21" t="str" cm="1">
        <f t="array" ref="A20">rate_structure_1</f>
        <v>Residential water, inside</v>
      </c>
      <c r="B20" s="49" cm="1">
        <f t="array" ref="B20">base_chargeRS12027</f>
        <v>20</v>
      </c>
      <c r="C20" s="49" cm="1">
        <f t="array" ref="C20">ROUND(SUM(RS1_block_consumption2026 * RS1_vrates2027)/num_accountsRS1,2)</f>
        <v>15.75</v>
      </c>
      <c r="D20" s="49">
        <f>B20+C20</f>
        <v>35.75</v>
      </c>
      <c r="E20" s="52" cm="1">
        <f t="array" ref="E20">((D20*num_accountsRS1) + (D21*num_accountsRS2))/num_accounts</f>
        <v>47.346579804560264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1:16">
      <c r="A21" s="21" t="str" cm="1">
        <f t="array" ref="A21">rate_structure_2</f>
        <v>Commerical, inside</v>
      </c>
      <c r="B21" s="49" cm="1">
        <f t="array" ref="B21">RS2_base_charge2027</f>
        <v>43</v>
      </c>
      <c r="C21" s="49" cm="1">
        <f t="array" ref="C21">ROUND(SUM(RS2_block_consumption2026 * RS2_vrates2027)/num_accountsRS2,2)</f>
        <v>57.48</v>
      </c>
      <c r="D21" s="49">
        <f>B21+C21</f>
        <v>100.47999999999999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</sheetData>
  <sheetProtection sheet="1" objects="1" scenarios="1"/>
  <mergeCells count="1">
    <mergeCell ref="A1:F1"/>
  </mergeCells>
  <conditionalFormatting sqref="B13:F13">
    <cfRule type="containsText" dxfId="3" priority="4" operator="containsText" text="Sufficient">
      <formula>NOT(ISERROR(SEARCH("Sufficient",B13)))</formula>
    </cfRule>
  </conditionalFormatting>
  <conditionalFormatting sqref="B13:F13">
    <cfRule type="containsText" dxfId="2" priority="3" operator="containsText" text="Insufficient">
      <formula>NOT(ISERROR(SEARCH("Insufficient",B13)))</formula>
    </cfRule>
  </conditionalFormatting>
  <conditionalFormatting sqref="B6:F6">
    <cfRule type="cellIs" dxfId="1" priority="2" operator="greaterThanOrEqual">
      <formula>0</formula>
    </cfRule>
  </conditionalFormatting>
  <conditionalFormatting sqref="B6:F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2026-05-29T02:32:54Z</dcterms:created>
  <dcterms:modified xsi:type="dcterms:W3CDTF">2026-05-30T15:59:16Z</dcterms:modified>
  <cp:category/>
  <cp:contentStatus/>
</cp:coreProperties>
</file>