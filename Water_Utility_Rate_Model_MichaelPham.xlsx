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8E9AE2ED-6DB5-4F66-86BC-5EF679984FE4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Inputs" sheetId="1" r:id="rId1"/>
    <sheet name="Dashboard" sheetId="5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2">Inputs!$C$24:$G$24</definedName>
    <definedName name="currentyear">Inputs!$C$11:$C$11</definedName>
    <definedName name="debt_service_values">Inputs!$AQ$13:$AU$13</definedName>
    <definedName name="expenses_value">Inputs!$AK$13:$AK$19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2" l="1" a="1"/>
  <c r="B17" i="2"/>
  <c r="B8" i="2" a="1"/>
  <c r="B8" i="2"/>
  <c r="M17" i="2" a="1"/>
  <c r="M17" i="2"/>
  <c r="M8" i="2" a="1"/>
  <c r="M8" i="2"/>
  <c r="Q17" i="2" a="1"/>
  <c r="Q17" i="2"/>
  <c r="P17" i="2" a="1"/>
  <c r="P17" i="2"/>
  <c r="O17" i="2" a="1"/>
  <c r="O17" i="2"/>
  <c r="N17" i="2" a="1"/>
  <c r="N17" i="2"/>
  <c r="B5" i="3" a="1"/>
  <c r="B5" i="3"/>
  <c r="F17" i="2" a="1"/>
  <c r="F17" i="2"/>
  <c r="E17" i="2" a="1"/>
  <c r="E17" i="2"/>
  <c r="D17" i="2" a="1"/>
  <c r="D17" i="2"/>
  <c r="C17" i="2" a="1"/>
  <c r="C17" i="2"/>
  <c r="F8" i="2" a="1"/>
  <c r="F8" i="2"/>
  <c r="E8" i="2" a="1"/>
  <c r="E8" i="2"/>
  <c r="D8" i="2" a="1"/>
  <c r="D8" i="2"/>
  <c r="C8" i="2" a="1"/>
  <c r="C8" i="2"/>
  <c r="Q8" i="2" a="1"/>
  <c r="Q8" i="2"/>
  <c r="P8" i="2" a="1"/>
  <c r="P8" i="2"/>
  <c r="O8" i="2" a="1"/>
  <c r="O8" i="2"/>
  <c r="N8" i="2" a="1"/>
  <c r="N8" i="2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M18" i="1" a="1"/>
  <c r="M18" i="1"/>
  <c r="N18" i="1" a="1"/>
  <c r="N18" i="1"/>
  <c r="O18" i="1" a="1"/>
  <c r="O18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U13" i="1"/>
  <c r="AT13" i="1"/>
  <c r="AS13" i="1"/>
  <c r="AR13" i="1"/>
  <c r="AQ13" i="1"/>
  <c r="B16" i="3" a="1"/>
  <c r="B16" i="3"/>
  <c r="AM15" i="1"/>
  <c r="AM16" i="1"/>
  <c r="AM17" i="1"/>
  <c r="AM18" i="1"/>
  <c r="AR12" i="1"/>
  <c r="AS12" i="1" s="1"/>
  <c r="AT12" i="1" s="1"/>
  <c r="AU12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B9" i="1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C15" i="2" l="1" a="1"/>
  <c r="C15" i="2" s="1"/>
  <c r="C6" i="2" a="1"/>
  <c r="C6" i="2" s="1"/>
  <c r="C12" i="3"/>
  <c r="C18" i="3" s="1"/>
  <c r="D5" i="3" a="1"/>
  <c r="D5" i="3" s="1"/>
  <c r="D15" i="2" l="1" a="1"/>
  <c r="D15" i="2" s="1"/>
  <c r="D6" i="2" a="1"/>
  <c r="D6" i="2" s="1"/>
  <c r="D12" i="3"/>
  <c r="D18" i="3" s="1"/>
  <c r="E5" i="3" a="1"/>
  <c r="E5" i="3" s="1"/>
  <c r="E6" i="2" l="1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<sst xmlns="http://schemas.openxmlformats.org/spreadsheetml/2006/main" count="121" uniqueCount="64">
  <si>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</si>
  <si>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</si>
  <si>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</si>
  <si>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</si>
  <si>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</si>
  <si>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</si>
  <si>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</si>
  <si>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</si>
  <si>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</si>
  <si>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</si>
  <si>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</si>
  <si>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</si>
  <si>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</si>
  <si>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</si>
  <si>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</si>
  <si>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Rate Structure 1:</t>
  </si>
  <si>
    <t>Annual Operating Expenses</t>
  </si>
  <si>
    <t>Annual Debt Service</t>
  </si>
  <si>
    <t>Year</t>
  </si>
  <si>
    <t>Block 1:</t>
  </si>
  <si>
    <t>Salaries</t>
  </si>
  <si>
    <t>Residential water, inside</t>
  </si>
  <si>
    <t>Base Charge (monthly):</t>
  </si>
  <si>
    <t>Block 2:</t>
  </si>
  <si>
    <t>Chemicals/Treatments</t>
  </si>
  <si>
    <t>Consumption included with base charge (gallons/month):</t>
  </si>
  <si>
    <t>Block 3:</t>
  </si>
  <si>
    <t>Energy and Utilities</t>
  </si>
  <si>
    <t>Maintenance &amp; Repairs</t>
  </si>
  <si>
    <t>Rate Structure 2:</t>
  </si>
  <si>
    <t>Administrative</t>
  </si>
  <si>
    <t>Block cutoffs, starts at 2000</t>
  </si>
  <si>
    <t>Cash Reserves</t>
  </si>
  <si>
    <t>Block rate 1 ($/1000 gal)</t>
  </si>
  <si>
    <t>Other</t>
  </si>
  <si>
    <t>Block rate 2 ($/1000 gal)</t>
  </si>
  <si>
    <t>Block rate 3 ($/1000 gal)</t>
  </si>
  <si>
    <t>*In gallons/month, excluding included amount</t>
  </si>
  <si>
    <t>Residential water, outside</t>
  </si>
  <si>
    <t>Stringtown Water Utility Summary Dashboard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</si>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</sst>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8" formatCode="&quot;$&quot;#,##0"/>
  </numFmts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0" fontId="1" fillId="2" borderId="0" xfId="0" applyFont="1" applyFill="1" applyAlignment="1">
      <alignment horizontal="right" vertical="center"/>
    </xf>
    <xf numFmtId="6" fontId="0" fillId="3" borderId="1" xfId="0" applyNumberFormat="1" applyFon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0" fontId="7" fillId="4" borderId="0" xfId="0" applyFont="1" applyFill="1" applyAlignment="1">
      <alignment horizontal="center"/>
    </xf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8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8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0" fontId="1" fillId="4" borderId="0" xfId="0" applyFont="1" applyFill="1" applyBorder="1"/>
    <xf numFmtId="6" fontId="0" fillId="4" borderId="0" xfId="0" applyNumberFormat="1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8" fontId="1" fillId="2" borderId="4" xfId="0" applyNumberFormat="1" applyFont="1" applyFill="1" applyBorder="1"/>
    <xf numFmtId="168" fontId="1" fillId="2" borderId="12" xfId="0" applyNumberFormat="1" applyFont="1" applyFill="1" applyBorder="1"/>
    <xf numFmtId="6" fontId="1" fillId="2" borderId="4" xfId="0" applyNumberFormat="1" applyFont="1" applyFill="1" applyBorder="1"/>
    <xf numFmtId="0" fontId="7" fillId="4" borderId="0" xfId="0" applyFont="1" applyFill="1" applyAlignment="1">
      <alignment horizontal="center"/>
    </xf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0" fillId="0" borderId="0" xfId="0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vertical="top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4" borderId="7" xfId="0" applyFill="1" applyBorder="1"/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8" fillId="2" borderId="5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</cellXfs>
  <cellStyles count="1">
    <cellStyle name="Normal" xfId="0" builtinId="0"/>
  </cellStyles>
  <dxfs count="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1439550</c:v>
                </c:pt>
                <c:pt idx="1">
                  <c:v>1454047.5</c:v>
                </c:pt>
                <c:pt idx="2">
                  <c:v>1468612.25</c:v>
                </c:pt>
                <c:pt idx="3">
                  <c:v>1483482.5</c:v>
                </c:pt>
                <c:pt idx="4">
                  <c:v>1498424.75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1439550</c:v>
                </c:pt>
                <c:pt idx="1">
                  <c:v>1564250.5</c:v>
                </c:pt>
                <c:pt idx="2">
                  <c:v>1674016</c:v>
                </c:pt>
                <c:pt idx="3">
                  <c:v>1690976.5</c:v>
                </c:pt>
                <c:pt idx="4">
                  <c:v>1766930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1465000</c:v>
                </c:pt>
                <c:pt idx="1">
                  <c:v>1504000</c:v>
                </c:pt>
                <c:pt idx="2">
                  <c:v>1554171</c:v>
                </c:pt>
                <c:pt idx="3">
                  <c:v>1595545</c:v>
                </c:pt>
                <c:pt idx="4">
                  <c:v>1638160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2</xdr:row>
      <xdr:rowOff>76200</xdr:rowOff>
    </xdr:from>
    <xdr:to>
      <xdr:col>6</xdr:col>
      <xdr:colOff>485775</xdr:colOff>
      <xdr:row>19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opLeftCell="A5" workbookViewId="0">
      <selection activeCell="E10" sqref="E10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11.710937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16" t="s">
        <v>0</v>
      </c>
      <c r="B1" s="11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</row>
    <row r="2" spans="1:95">
      <c r="A2" s="118" t="s">
        <v>1</v>
      </c>
      <c r="B2" s="119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</row>
    <row r="3" spans="1:95">
      <c r="A3" s="120"/>
      <c r="B3" s="83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</row>
    <row r="4" spans="1:95">
      <c r="A4" s="121" t="s">
        <v>2</v>
      </c>
      <c r="B4" s="122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</row>
    <row r="5" spans="1:9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</row>
    <row r="6" spans="1:95" ht="15.75">
      <c r="A6" s="26" t="s">
        <v>3</v>
      </c>
      <c r="B6" s="24" t="s">
        <v>4</v>
      </c>
      <c r="C6" s="27"/>
      <c r="D6" s="6" t="s">
        <v>5</v>
      </c>
      <c r="E6" s="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</row>
    <row r="7" spans="1:95" ht="15.75">
      <c r="A7" s="26" t="s">
        <v>6</v>
      </c>
      <c r="B7" s="24">
        <v>275000</v>
      </c>
      <c r="C7" s="27"/>
      <c r="D7" s="4" t="s">
        <v>7</v>
      </c>
      <c r="E7" s="74">
        <v>0.03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</row>
    <row r="8" spans="1:95" ht="15.75">
      <c r="A8" s="26" t="s">
        <v>8</v>
      </c>
      <c r="B8" s="24">
        <v>3070</v>
      </c>
      <c r="C8" s="27"/>
      <c r="D8" s="5" t="s">
        <v>9</v>
      </c>
      <c r="E8" s="21">
        <v>0.01</v>
      </c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</row>
    <row r="9" spans="1:95" ht="15.75">
      <c r="A9" s="26" t="s">
        <v>10</v>
      </c>
      <c r="B9" s="57">
        <f>SUM(K13:K15,K18:K20) * 12</f>
        <v>3804000</v>
      </c>
      <c r="C9" s="27"/>
      <c r="D9" s="75" t="s">
        <v>11</v>
      </c>
      <c r="E9" s="2">
        <v>1.25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</row>
    <row r="10" spans="1:95" ht="32.2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</row>
    <row r="11" spans="1:95" ht="15" customHeight="1">
      <c r="A11" s="8" t="s">
        <v>12</v>
      </c>
      <c r="B11" s="9" t="s">
        <v>13</v>
      </c>
      <c r="C11" s="11">
        <v>2026</v>
      </c>
      <c r="D11" s="9">
        <f>C11+1</f>
        <v>2027</v>
      </c>
      <c r="E11" s="9">
        <f t="shared" ref="E11:G11" si="0">D11+1</f>
        <v>2028</v>
      </c>
      <c r="F11" s="9">
        <f t="shared" si="0"/>
        <v>2029</v>
      </c>
      <c r="G11" s="10">
        <f t="shared" si="0"/>
        <v>2030</v>
      </c>
      <c r="H11" s="27"/>
      <c r="I11" s="93" t="s">
        <v>14</v>
      </c>
      <c r="J11" s="94"/>
      <c r="K11" s="94"/>
      <c r="L11" s="94"/>
      <c r="M11" s="94"/>
      <c r="N11" s="94"/>
      <c r="O11" s="95"/>
      <c r="P11" s="29"/>
      <c r="Q11" s="29"/>
      <c r="R11" s="29"/>
      <c r="S11" s="29"/>
      <c r="T11" s="29"/>
      <c r="U11" s="29"/>
      <c r="V11" s="29"/>
      <c r="W11" s="29"/>
      <c r="X11" s="29"/>
      <c r="Y11" s="65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</row>
    <row r="12" spans="1:95" ht="15.75">
      <c r="A12" s="28"/>
      <c r="B12" s="29"/>
      <c r="C12" s="29"/>
      <c r="D12" s="29"/>
      <c r="E12" s="29"/>
      <c r="F12" s="29"/>
      <c r="G12" s="31"/>
      <c r="H12" s="27"/>
      <c r="I12" s="3" t="s">
        <v>15</v>
      </c>
      <c r="J12" s="89" t="s">
        <v>13</v>
      </c>
      <c r="K12" s="69" cm="1">
        <f t="array" ref="K12">currentyear</f>
        <v>2026</v>
      </c>
      <c r="L12" s="69">
        <f>K12+1</f>
        <v>2027</v>
      </c>
      <c r="M12" s="69">
        <f t="shared" ref="M12:O12" si="1">L12+1</f>
        <v>2028</v>
      </c>
      <c r="N12" s="69">
        <f t="shared" si="1"/>
        <v>2029</v>
      </c>
      <c r="O12" s="69">
        <f t="shared" si="1"/>
        <v>2030</v>
      </c>
      <c r="P12" s="29"/>
      <c r="Q12" s="29"/>
      <c r="R12" s="29"/>
      <c r="S12" s="29"/>
      <c r="T12" s="29"/>
      <c r="U12" s="29"/>
      <c r="V12" s="29"/>
      <c r="W12" s="29"/>
      <c r="X12" s="29"/>
      <c r="Y12" s="66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36" t="s">
        <v>16</v>
      </c>
      <c r="AK12" s="22">
        <v>2026</v>
      </c>
      <c r="AL12" s="27"/>
      <c r="AM12" s="36" t="s">
        <v>17</v>
      </c>
      <c r="AN12" s="1"/>
      <c r="AO12" s="36" t="s">
        <v>17</v>
      </c>
      <c r="AP12" s="40" t="s">
        <v>18</v>
      </c>
      <c r="AQ12" s="1">
        <v>2026</v>
      </c>
      <c r="AR12" s="1">
        <f>AQ12+1</f>
        <v>2027</v>
      </c>
      <c r="AS12" s="1">
        <f>AR12+1</f>
        <v>2028</v>
      </c>
      <c r="AT12" s="1">
        <f>AS12+1</f>
        <v>2029</v>
      </c>
      <c r="AU12" s="1">
        <f>AT12+1</f>
        <v>2030</v>
      </c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</row>
    <row r="13" spans="1:95">
      <c r="A13" s="12" t="s">
        <v>15</v>
      </c>
      <c r="B13" s="19"/>
      <c r="C13" s="15"/>
      <c r="D13" s="15"/>
      <c r="E13" s="15"/>
      <c r="F13" s="15"/>
      <c r="G13" s="16"/>
      <c r="H13" s="27"/>
      <c r="I13" s="96" t="str" cm="1">
        <f t="array" ref="I13">rate_structure_1</f>
        <v>Residential water, inside</v>
      </c>
      <c r="J13" s="64" t="s">
        <v>19</v>
      </c>
      <c r="K13" s="35">
        <v>200000</v>
      </c>
      <c r="L13" s="23" cm="1">
        <f t="array" ref="L13">ROUND(K13*(1 + pop_growth_rate),0)</f>
        <v>202000</v>
      </c>
      <c r="M13" s="23" cm="1">
        <f t="array" ref="M13">ROUND(L13*(1 + pop_growth_rate),0)</f>
        <v>204020</v>
      </c>
      <c r="N13" s="23" cm="1">
        <f t="array" ref="N13">ROUND(M13*(1 + pop_growth_rate),0)</f>
        <v>206060</v>
      </c>
      <c r="O13" s="23" cm="1">
        <f t="array" ref="O13">ROUND(N13*(1 + pop_growth_rate),0)</f>
        <v>208121</v>
      </c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1" t="s">
        <v>20</v>
      </c>
      <c r="AK13" s="37">
        <v>650000</v>
      </c>
      <c r="AL13" s="27"/>
      <c r="AM13" s="40" t="s">
        <v>18</v>
      </c>
      <c r="AN13" s="1"/>
      <c r="AO13" s="1"/>
      <c r="AP13" s="1"/>
      <c r="AQ13" s="47">
        <f>AN14</f>
        <v>165000</v>
      </c>
      <c r="AR13" s="47">
        <f>AN15</f>
        <v>165000</v>
      </c>
      <c r="AS13" s="47">
        <f>AN16</f>
        <v>175000</v>
      </c>
      <c r="AT13" s="47">
        <f>AN17</f>
        <v>175000</v>
      </c>
      <c r="AU13" s="47">
        <f>AN18</f>
        <v>175000</v>
      </c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</row>
    <row r="14" spans="1:95">
      <c r="A14" s="20" t="s">
        <v>21</v>
      </c>
      <c r="B14" s="22" t="s">
        <v>22</v>
      </c>
      <c r="C14" s="39">
        <v>20</v>
      </c>
      <c r="D14" s="42">
        <v>25</v>
      </c>
      <c r="E14" s="39">
        <v>25</v>
      </c>
      <c r="F14" s="39">
        <v>25</v>
      </c>
      <c r="G14" s="39">
        <v>25</v>
      </c>
      <c r="H14" s="27"/>
      <c r="I14" s="3"/>
      <c r="J14" s="64" t="s">
        <v>23</v>
      </c>
      <c r="K14" s="35">
        <v>25000</v>
      </c>
      <c r="L14" s="23" cm="1">
        <f t="array" ref="L14">ROUND(K14*(1 + pop_growth_rate),0)</f>
        <v>25250</v>
      </c>
      <c r="M14" s="23" cm="1">
        <f t="array" ref="M14">ROUND(L14*(1 + pop_growth_rate),0)</f>
        <v>25503</v>
      </c>
      <c r="N14" s="23" cm="1">
        <f t="array" ref="N14">ROUND(M14*(1 + pop_growth_rate),0)</f>
        <v>25758</v>
      </c>
      <c r="O14" s="23" cm="1">
        <f t="array" ref="O14">ROUND(N14*(1 + pop_growth_rate),0)</f>
        <v>26016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1" t="s">
        <v>24</v>
      </c>
      <c r="AK14" s="37">
        <v>110000</v>
      </c>
      <c r="AL14" s="27"/>
      <c r="AM14" s="1">
        <v>2026</v>
      </c>
      <c r="AN14" s="41">
        <v>165000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</row>
    <row r="15" spans="1:95" ht="30.75">
      <c r="A15" s="3" t="s">
        <v>8</v>
      </c>
      <c r="B15" s="23" t="s">
        <v>25</v>
      </c>
      <c r="C15" s="35">
        <v>2000</v>
      </c>
      <c r="D15" s="43">
        <v>2000</v>
      </c>
      <c r="E15" s="35">
        <v>2000</v>
      </c>
      <c r="F15" s="35">
        <v>2000</v>
      </c>
      <c r="G15" s="35">
        <v>2000</v>
      </c>
      <c r="H15" s="27"/>
      <c r="I15" s="81"/>
      <c r="J15" s="64" t="s">
        <v>26</v>
      </c>
      <c r="K15" s="35">
        <v>0</v>
      </c>
      <c r="L15" s="23" cm="1">
        <f t="array" ref="L15">ROUND(K15*(1 + pop_growth_rate),0)</f>
        <v>0</v>
      </c>
      <c r="M15" s="23" cm="1">
        <f t="array" ref="M15">ROUND(L15*(1 + pop_growth_rate),0)</f>
        <v>0</v>
      </c>
      <c r="N15" s="23" cm="1">
        <f t="array" ref="N15">ROUND(M15*(1 + pop_growth_rate),0)</f>
        <v>0</v>
      </c>
      <c r="O15" s="23" cm="1">
        <f t="array" ref="O15">ROUND(N15*(1 + pop_growth_rate),0)</f>
        <v>0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1" t="s">
        <v>27</v>
      </c>
      <c r="AK15" s="38">
        <v>85000</v>
      </c>
      <c r="AL15" s="27"/>
      <c r="AM15" s="1">
        <f>AM14+1</f>
        <v>2027</v>
      </c>
      <c r="AN15" s="41">
        <v>165000</v>
      </c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</row>
    <row r="16" spans="1:95">
      <c r="A16" s="44">
        <v>2520</v>
      </c>
      <c r="B16" s="33"/>
      <c r="C16" s="33"/>
      <c r="D16" s="13"/>
      <c r="E16" s="13"/>
      <c r="F16" s="13"/>
      <c r="G16" s="17"/>
      <c r="H16" s="27"/>
      <c r="I16" s="27"/>
      <c r="J16" s="27"/>
      <c r="K16" s="27"/>
      <c r="L16" s="27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1" t="s">
        <v>28</v>
      </c>
      <c r="AK16" s="37">
        <v>85000</v>
      </c>
      <c r="AL16" s="27"/>
      <c r="AM16" s="1">
        <f>AM15+1</f>
        <v>2028</v>
      </c>
      <c r="AN16" s="41">
        <v>175000</v>
      </c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</row>
    <row r="17" spans="1:95">
      <c r="A17" s="32"/>
      <c r="B17" s="33"/>
      <c r="C17" s="33"/>
      <c r="D17" s="13"/>
      <c r="E17" s="13"/>
      <c r="F17" s="13"/>
      <c r="G17" s="17"/>
      <c r="H17" s="27"/>
      <c r="I17" s="1" t="s">
        <v>29</v>
      </c>
      <c r="J17" s="1" t="s">
        <v>13</v>
      </c>
      <c r="K17" s="22" cm="1">
        <f t="array" ref="K17">currentyear</f>
        <v>2026</v>
      </c>
      <c r="L17" s="69">
        <f>K17+1</f>
        <v>2027</v>
      </c>
      <c r="M17" s="69">
        <f t="shared" ref="M17:O17" si="2">L17+1</f>
        <v>2028</v>
      </c>
      <c r="N17" s="69">
        <f t="shared" si="2"/>
        <v>2029</v>
      </c>
      <c r="O17" s="69">
        <f t="shared" si="2"/>
        <v>2030</v>
      </c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1" t="s">
        <v>30</v>
      </c>
      <c r="AK17" s="37">
        <v>74000</v>
      </c>
      <c r="AL17" s="27"/>
      <c r="AM17" s="1">
        <f t="shared" ref="AM17:AM18" si="3">AM16+1</f>
        <v>2029</v>
      </c>
      <c r="AN17" s="41">
        <v>175000</v>
      </c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</row>
    <row r="18" spans="1:95">
      <c r="A18" s="32" t="s">
        <v>31</v>
      </c>
      <c r="B18" s="34"/>
      <c r="C18" s="34"/>
      <c r="D18" s="13"/>
      <c r="E18" s="13"/>
      <c r="F18" s="13"/>
      <c r="G18" s="17"/>
      <c r="H18" s="27"/>
      <c r="I18" s="1" t="str" cm="1">
        <f t="array" ref="I18">rate_structure_2</f>
        <v>Residential water, outside</v>
      </c>
      <c r="J18" s="22" t="s">
        <v>19</v>
      </c>
      <c r="K18" s="91">
        <v>72000</v>
      </c>
      <c r="L18" s="22" cm="1">
        <f t="array" ref="L18">ROUND(K18*(1 + pop_growth_rate),0)</f>
        <v>72720</v>
      </c>
      <c r="M18" s="22" cm="1">
        <f t="array" ref="M18">ROUND(L18*(1 + pop_growth_rate),0)</f>
        <v>73447</v>
      </c>
      <c r="N18" s="22" cm="1">
        <f t="array" ref="N18">ROUND(M18*(1 + pop_growth_rate),0)</f>
        <v>74181</v>
      </c>
      <c r="O18" s="22" cm="1">
        <f t="array" ref="O18">ROUND(N18*(1 + pop_growth_rate),0)</f>
        <v>74923</v>
      </c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1" t="s">
        <v>32</v>
      </c>
      <c r="AK18" s="37">
        <v>200000</v>
      </c>
      <c r="AL18" s="27"/>
      <c r="AM18" s="1">
        <f t="shared" si="3"/>
        <v>2030</v>
      </c>
      <c r="AN18" s="41">
        <v>175000</v>
      </c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</row>
    <row r="19" spans="1:95">
      <c r="A19" s="14">
        <v>3000</v>
      </c>
      <c r="B19" s="22" t="s">
        <v>33</v>
      </c>
      <c r="C19" s="39">
        <v>1.75</v>
      </c>
      <c r="D19" s="42">
        <v>1.5</v>
      </c>
      <c r="E19" s="39">
        <v>1.75</v>
      </c>
      <c r="F19" s="39">
        <v>1.75</v>
      </c>
      <c r="G19" s="39">
        <v>2</v>
      </c>
      <c r="H19" s="27"/>
      <c r="I19" s="1"/>
      <c r="J19" s="22" t="s">
        <v>23</v>
      </c>
      <c r="K19" s="91">
        <v>20000</v>
      </c>
      <c r="L19" s="22" cm="1">
        <f t="array" ref="L19">ROUND(K19*(1 + pop_growth_rate),0)</f>
        <v>20200</v>
      </c>
      <c r="M19" s="22" cm="1">
        <f t="array" ref="M19">ROUND(L19*(1 + pop_growth_rate),0)</f>
        <v>20402</v>
      </c>
      <c r="N19" s="22" cm="1">
        <f t="array" ref="N19">ROUND(M19*(1 + pop_growth_rate),0)</f>
        <v>20606</v>
      </c>
      <c r="O19" s="22" cm="1">
        <f t="array" ref="O19">ROUND(N19*(1 + pop_growth_rate),0)</f>
        <v>20812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1" t="s">
        <v>34</v>
      </c>
      <c r="AK19" s="37">
        <v>96000</v>
      </c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</row>
    <row r="20" spans="1:95">
      <c r="A20" s="25">
        <v>4000</v>
      </c>
      <c r="B20" s="22" t="s">
        <v>35</v>
      </c>
      <c r="C20" s="39">
        <v>1.75</v>
      </c>
      <c r="D20" s="42">
        <v>2.25</v>
      </c>
      <c r="E20" s="39">
        <v>2.5</v>
      </c>
      <c r="F20" s="39">
        <v>2.5</v>
      </c>
      <c r="G20" s="39">
        <v>2.5</v>
      </c>
      <c r="H20" s="27"/>
      <c r="I20" s="1"/>
      <c r="J20" s="22" t="s">
        <v>26</v>
      </c>
      <c r="K20" s="91">
        <v>0</v>
      </c>
      <c r="L20" s="22" cm="1">
        <f t="array" ref="L20">ROUND(K20*(1 + pop_growth_rate),0)</f>
        <v>0</v>
      </c>
      <c r="M20" s="22" cm="1">
        <f t="array" ref="M20">ROUND(L20*(1 + pop_growth_rate),0)</f>
        <v>0</v>
      </c>
      <c r="N20" s="22" cm="1">
        <f t="array" ref="N20">ROUND(M20*(1 + pop_growth_rate),0)</f>
        <v>0</v>
      </c>
      <c r="O20" s="22" cm="1">
        <f t="array" ref="O20">ROUND(N20*(1 + pop_growth_rate),0)</f>
        <v>0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</row>
    <row r="21" spans="1:95">
      <c r="A21" s="25">
        <v>5000</v>
      </c>
      <c r="B21" s="22" t="s">
        <v>36</v>
      </c>
      <c r="C21" s="39">
        <v>1.75</v>
      </c>
      <c r="D21" s="42">
        <v>3.5</v>
      </c>
      <c r="E21" s="39">
        <v>3.75</v>
      </c>
      <c r="F21" s="39">
        <v>3.75</v>
      </c>
      <c r="G21" s="39">
        <v>3.75</v>
      </c>
      <c r="H21" s="27"/>
      <c r="I21" s="27"/>
      <c r="J21" s="87"/>
      <c r="K21" s="87"/>
      <c r="L21" s="87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</row>
    <row r="22" spans="1:95" ht="29.25" customHeight="1">
      <c r="A22" s="27"/>
      <c r="B22" s="27"/>
      <c r="C22" s="27"/>
      <c r="D22" s="27"/>
      <c r="E22" s="27"/>
      <c r="F22" s="27"/>
      <c r="G22" s="27"/>
      <c r="H22" s="27"/>
      <c r="I22" s="27"/>
      <c r="J22" s="92" t="s">
        <v>37</v>
      </c>
      <c r="K22" s="92"/>
      <c r="L22" s="92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</row>
    <row r="23" spans="1:95">
      <c r="A23" s="12" t="s">
        <v>29</v>
      </c>
      <c r="B23" s="18"/>
      <c r="C23" s="15"/>
      <c r="D23" s="15"/>
      <c r="E23" s="15"/>
      <c r="F23" s="15"/>
      <c r="G23" s="16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</row>
    <row r="24" spans="1:95">
      <c r="A24" s="20" t="s">
        <v>38</v>
      </c>
      <c r="B24" s="22" t="s">
        <v>22</v>
      </c>
      <c r="C24" s="39">
        <v>25</v>
      </c>
      <c r="D24" s="42">
        <v>29</v>
      </c>
      <c r="E24" s="39">
        <v>29</v>
      </c>
      <c r="F24" s="39">
        <v>29</v>
      </c>
      <c r="G24" s="39">
        <v>30</v>
      </c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</row>
    <row r="25" spans="1:95" ht="30.75">
      <c r="A25" s="3" t="s">
        <v>8</v>
      </c>
      <c r="B25" s="23" t="s">
        <v>25</v>
      </c>
      <c r="C25" s="2">
        <v>0</v>
      </c>
      <c r="D25" s="24">
        <v>0</v>
      </c>
      <c r="E25" s="2">
        <v>0</v>
      </c>
      <c r="F25" s="2">
        <v>0</v>
      </c>
      <c r="G25" s="2">
        <v>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</row>
    <row r="26" spans="1:95">
      <c r="A26" s="44">
        <f>B8-A16</f>
        <v>550</v>
      </c>
      <c r="B26" s="33"/>
      <c r="C26" s="33"/>
      <c r="D26" s="13"/>
      <c r="E26" s="13"/>
      <c r="F26" s="13"/>
      <c r="G26" s="1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</row>
    <row r="27" spans="1:95">
      <c r="A27" s="32"/>
      <c r="B27" s="33"/>
      <c r="C27" s="33"/>
      <c r="D27" s="13"/>
      <c r="E27" s="13"/>
      <c r="F27" s="13"/>
      <c r="G27" s="1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</row>
    <row r="28" spans="1:95">
      <c r="A28" s="32" t="s">
        <v>31</v>
      </c>
      <c r="B28" s="34"/>
      <c r="C28" s="34"/>
      <c r="D28" s="13"/>
      <c r="E28" s="13"/>
      <c r="F28" s="13"/>
      <c r="G28" s="1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</row>
    <row r="29" spans="1:95">
      <c r="A29" s="14">
        <v>5000</v>
      </c>
      <c r="B29" s="22" t="s">
        <v>33</v>
      </c>
      <c r="C29" s="42">
        <v>3</v>
      </c>
      <c r="D29" s="39">
        <v>2.5</v>
      </c>
      <c r="E29" s="39">
        <v>3</v>
      </c>
      <c r="F29" s="39">
        <v>3</v>
      </c>
      <c r="G29" s="39">
        <v>3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</row>
    <row r="30" spans="1:95">
      <c r="A30" s="25">
        <v>10000</v>
      </c>
      <c r="B30" s="22" t="s">
        <v>35</v>
      </c>
      <c r="C30" s="42">
        <v>3</v>
      </c>
      <c r="D30" s="39">
        <v>3.25</v>
      </c>
      <c r="E30" s="39">
        <v>3.25</v>
      </c>
      <c r="F30" s="39">
        <v>3.25</v>
      </c>
      <c r="G30" s="39">
        <v>3.25</v>
      </c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</row>
    <row r="31" spans="1:95">
      <c r="A31" s="25"/>
      <c r="B31" s="22" t="s">
        <v>36</v>
      </c>
      <c r="C31" s="42"/>
      <c r="D31" s="39"/>
      <c r="E31" s="39"/>
      <c r="F31" s="39"/>
      <c r="G31" s="39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</row>
    <row r="32" spans="1:9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30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U28"/>
  <sheetViews>
    <sheetView tabSelected="1" workbookViewId="0">
      <selection activeCell="I12" sqref="I12"/>
    </sheetView>
  </sheetViews>
  <sheetFormatPr defaultRowHeight="15"/>
  <cols>
    <col min="1" max="1" width="36.5703125" bestFit="1" customWidth="1"/>
  </cols>
  <sheetData>
    <row r="1" spans="1:21" ht="30.75" customHeight="1">
      <c r="A1" s="88" t="s">
        <v>39</v>
      </c>
      <c r="B1" s="88"/>
      <c r="C1" s="88"/>
      <c r="D1" s="88"/>
      <c r="E1" s="88"/>
      <c r="F1" s="88"/>
      <c r="G1" s="88"/>
      <c r="H1" s="88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1:21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1:21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spans="1:21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spans="1:21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1:2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1:2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1:2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1:2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1:2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1:2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1:2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</row>
    <row r="17" spans="1:2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</row>
    <row r="18" spans="1:2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1:2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</row>
    <row r="20" spans="1:2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spans="1: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1:2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1:2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1:2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1:2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1:2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workbookViewId="0">
      <selection activeCell="M25" sqref="M25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46" t="s">
        <v>40</v>
      </c>
      <c r="B1" s="46"/>
      <c r="C1" s="46"/>
      <c r="D1" s="46"/>
      <c r="E1" s="46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</row>
    <row r="2" spans="1:59" ht="18.75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97" t="s">
        <v>41</v>
      </c>
      <c r="M2" s="98"/>
      <c r="N2" s="98"/>
      <c r="O2" s="98"/>
      <c r="P2" s="98"/>
      <c r="Q2" s="99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</row>
    <row r="3" spans="1:59" ht="18.75">
      <c r="A3" s="97" t="s">
        <v>42</v>
      </c>
      <c r="B3" s="98"/>
      <c r="C3" s="98"/>
      <c r="D3" s="98"/>
      <c r="E3" s="98"/>
      <c r="F3" s="99"/>
      <c r="G3" s="27"/>
      <c r="H3" s="27"/>
      <c r="I3" s="27"/>
      <c r="J3" s="27"/>
      <c r="K3" s="27"/>
      <c r="L3" s="123"/>
      <c r="M3" s="124"/>
      <c r="N3" s="124"/>
      <c r="O3" s="124"/>
      <c r="P3" s="124"/>
      <c r="Q3" s="125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</row>
    <row r="4" spans="1:59">
      <c r="A4" s="100" t="s">
        <v>15</v>
      </c>
      <c r="B4" s="89"/>
      <c r="C4" s="89"/>
      <c r="D4" s="89"/>
      <c r="E4" s="89"/>
      <c r="F4" s="101"/>
      <c r="G4" s="27"/>
      <c r="H4" s="27"/>
      <c r="I4" s="27"/>
      <c r="J4" s="27"/>
      <c r="K4" s="27"/>
      <c r="L4" s="100" t="s">
        <v>15</v>
      </c>
      <c r="M4" s="89"/>
      <c r="N4" s="89"/>
      <c r="O4" s="89"/>
      <c r="P4" s="89"/>
      <c r="Q4" s="101"/>
      <c r="R4" s="27"/>
      <c r="S4" s="27"/>
      <c r="T4" s="27"/>
      <c r="U4" s="27"/>
      <c r="V4" s="27"/>
      <c r="W4" s="27"/>
      <c r="X4" s="27"/>
      <c r="Y4" s="90"/>
      <c r="Z4" s="90">
        <f t="shared" ref="Z4:AC4" si="0">$B$22</f>
        <v>1439550</v>
      </c>
      <c r="AA4" s="90">
        <f t="shared" si="0"/>
        <v>1439550</v>
      </c>
      <c r="AB4" s="90">
        <f t="shared" si="0"/>
        <v>1439550</v>
      </c>
      <c r="AC4" s="90">
        <f t="shared" si="0"/>
        <v>1439550</v>
      </c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</row>
    <row r="5" spans="1:59">
      <c r="A5" s="64" t="s">
        <v>18</v>
      </c>
      <c r="B5" s="22" cm="1">
        <f t="array" ref="B5">currentyear</f>
        <v>2026</v>
      </c>
      <c r="C5" s="22">
        <f>B5+1</f>
        <v>2027</v>
      </c>
      <c r="D5" s="22">
        <f t="shared" ref="D5:F5" si="1">C5+1</f>
        <v>2028</v>
      </c>
      <c r="E5" s="22">
        <f t="shared" si="1"/>
        <v>2029</v>
      </c>
      <c r="F5" s="22">
        <f t="shared" si="1"/>
        <v>2030</v>
      </c>
      <c r="G5" s="27"/>
      <c r="H5" s="27"/>
      <c r="I5" s="27"/>
      <c r="J5" s="27"/>
      <c r="K5" s="27"/>
      <c r="L5" s="64" t="s">
        <v>18</v>
      </c>
      <c r="M5" s="22" cm="1">
        <f t="array" ref="M5">currentyear</f>
        <v>2026</v>
      </c>
      <c r="N5" s="22">
        <f>M5+1</f>
        <v>2027</v>
      </c>
      <c r="O5" s="22">
        <f t="shared" ref="O5:Q5" si="2">N5+1</f>
        <v>2028</v>
      </c>
      <c r="P5" s="22">
        <f t="shared" si="2"/>
        <v>2029</v>
      </c>
      <c r="Q5" s="22">
        <f t="shared" si="2"/>
        <v>2030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</row>
    <row r="6" spans="1:59">
      <c r="A6" s="22" t="s">
        <v>43</v>
      </c>
      <c r="B6" s="61" cm="1">
        <f t="array" ref="B6">num_accountsRS1</f>
        <v>2520</v>
      </c>
      <c r="C6" s="62" cm="1">
        <f t="array" ref="C6">ROUND(B6*(1+pop_growth_rate),0)</f>
        <v>2545</v>
      </c>
      <c r="D6" s="62" cm="1">
        <f t="array" ref="D6">ROUND(C6*(1+pop_growth_rate),0)</f>
        <v>2570</v>
      </c>
      <c r="E6" s="62" cm="1">
        <f t="array" ref="E6">ROUND(D6*(1+pop_growth_rate),0)</f>
        <v>2596</v>
      </c>
      <c r="F6" s="62" cm="1">
        <f t="array" ref="F6">ROUND(E6*(1+pop_growth_rate),0)</f>
        <v>2622</v>
      </c>
      <c r="G6" s="27"/>
      <c r="H6" s="27"/>
      <c r="I6" s="27"/>
      <c r="J6" s="27"/>
      <c r="K6" s="27"/>
      <c r="L6" s="22" t="s">
        <v>43</v>
      </c>
      <c r="M6" s="61" cm="1">
        <f t="array" ref="M6">num_accountsRS1</f>
        <v>2520</v>
      </c>
      <c r="N6" s="62" cm="1">
        <f t="array" ref="N6">ROUND(M6 * (1+pop_growth_rate),0)</f>
        <v>2545</v>
      </c>
      <c r="O6" s="62" cm="1">
        <f t="array" ref="O6">ROUND(N6 * (1+pop_growth_rate),0)</f>
        <v>2570</v>
      </c>
      <c r="P6" s="62" cm="1">
        <f t="array" ref="P6">ROUND(O6 * (1+pop_growth_rate),0)</f>
        <v>2596</v>
      </c>
      <c r="Q6" s="62" cm="1">
        <f t="array" ref="Q6">ROUND(P6 * (1+pop_growth_rate),0)</f>
        <v>2622</v>
      </c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</row>
    <row r="7" spans="1:59">
      <c r="A7" s="22" t="s">
        <v>44</v>
      </c>
      <c r="B7" s="58" cm="1">
        <f t="array" ref="B7:F7">base_chargeRS1 * 12 * RS1_num_accounts</f>
        <v>604800</v>
      </c>
      <c r="C7" s="55">
        <v>763500</v>
      </c>
      <c r="D7" s="55">
        <v>771000</v>
      </c>
      <c r="E7" s="55">
        <v>778800</v>
      </c>
      <c r="F7" s="55">
        <v>786600</v>
      </c>
      <c r="G7" s="27"/>
      <c r="H7" s="27"/>
      <c r="I7" s="27"/>
      <c r="J7" s="27"/>
      <c r="K7" s="27"/>
      <c r="L7" s="60" t="s">
        <v>44</v>
      </c>
      <c r="M7" s="106" cm="1">
        <f t="array" ref="M7:Q7">RS1_base_charge2026 * 12 * RS1_num_accounts</f>
        <v>604800</v>
      </c>
      <c r="N7" s="107">
        <v>610800</v>
      </c>
      <c r="O7" s="107">
        <v>616800</v>
      </c>
      <c r="P7" s="107">
        <v>623040</v>
      </c>
      <c r="Q7" s="107">
        <v>629280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</row>
    <row r="8" spans="1:59">
      <c r="A8" s="22" t="s">
        <v>45</v>
      </c>
      <c r="B8" s="63" cm="1">
        <f t="array" ref="B8:B10">RS1_block_consumption2026 * RS1_vrates2026</f>
        <v>350000</v>
      </c>
      <c r="C8" s="47" cm="1">
        <f t="array" ref="C8:C10">RS1_block_consumption2027 * RS1_vrates2027</f>
        <v>303000</v>
      </c>
      <c r="D8" s="47" cm="1">
        <f t="array" ref="D8:D10">RS1_block_consumption2028 * RS1_vrates2028</f>
        <v>357035</v>
      </c>
      <c r="E8" s="47" cm="1">
        <f t="array" ref="E8:E10">RS1_block_consumption2029 * RS1_vrates2029</f>
        <v>360605</v>
      </c>
      <c r="F8" s="47" cm="1">
        <f t="array" ref="F8:F10">RS1_block_consumption2030 * RS1_vrates2030</f>
        <v>416242</v>
      </c>
      <c r="G8" s="27"/>
      <c r="H8" s="27"/>
      <c r="I8" s="27"/>
      <c r="J8" s="27"/>
      <c r="K8" s="27"/>
      <c r="L8" s="22" t="s">
        <v>45</v>
      </c>
      <c r="M8" s="63" cm="1">
        <f t="array" ref="M8:M10">RS1_block_consumption2026 * RS1_vrates2026</f>
        <v>350000</v>
      </c>
      <c r="N8" s="63" cm="1">
        <f t="array" ref="N8:N10">RS1_block_consumption2027 * RS1_vrates2026</f>
        <v>353500</v>
      </c>
      <c r="O8" s="63" cm="1">
        <f t="array" ref="O8:O10">RS1_block_consumption2028 * RS1_vrates2026</f>
        <v>357035</v>
      </c>
      <c r="P8" s="63" cm="1">
        <f t="array" ref="P8:P10">RS1_block_consumption2029 * RS1_vrates2026</f>
        <v>360605</v>
      </c>
      <c r="Q8" s="63" cm="1">
        <f t="array" ref="Q8:Q10">RS1_block_consumption2030 * RS1_vrates2026</f>
        <v>364211.75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</row>
    <row r="9" spans="1:59">
      <c r="A9" s="22" t="s">
        <v>46</v>
      </c>
      <c r="B9" s="63">
        <v>43750</v>
      </c>
      <c r="C9" s="47">
        <v>56812.5</v>
      </c>
      <c r="D9" s="47">
        <v>63757.5</v>
      </c>
      <c r="E9" s="47">
        <v>64395</v>
      </c>
      <c r="F9" s="47">
        <v>65040</v>
      </c>
      <c r="G9" s="27"/>
      <c r="H9" s="27"/>
      <c r="I9" s="27"/>
      <c r="J9" s="27"/>
      <c r="K9" s="27"/>
      <c r="L9" s="22" t="s">
        <v>46</v>
      </c>
      <c r="M9" s="63">
        <v>43750</v>
      </c>
      <c r="N9" s="63">
        <v>44187.5</v>
      </c>
      <c r="O9" s="63">
        <v>44630.25</v>
      </c>
      <c r="P9" s="63">
        <v>45076.5</v>
      </c>
      <c r="Q9" s="63">
        <v>45528</v>
      </c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</row>
    <row r="10" spans="1:59">
      <c r="A10" s="22" t="s">
        <v>47</v>
      </c>
      <c r="B10" s="63">
        <v>0</v>
      </c>
      <c r="C10" s="47">
        <v>0</v>
      </c>
      <c r="D10" s="47">
        <v>0</v>
      </c>
      <c r="E10" s="47">
        <v>0</v>
      </c>
      <c r="F10" s="47">
        <v>0</v>
      </c>
      <c r="G10" s="27"/>
      <c r="H10" s="27"/>
      <c r="I10" s="27"/>
      <c r="J10" s="27"/>
      <c r="K10" s="27"/>
      <c r="L10" s="69" t="s">
        <v>47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</row>
    <row r="11" spans="1:59">
      <c r="A11" s="102" t="s">
        <v>48</v>
      </c>
      <c r="B11" s="103">
        <f>SUM(B7:B10)</f>
        <v>998550</v>
      </c>
      <c r="C11" s="103">
        <f t="shared" ref="C11:F11" si="3">SUM(C7:C10)</f>
        <v>1123312.5</v>
      </c>
      <c r="D11" s="103">
        <f t="shared" si="3"/>
        <v>1191792.5</v>
      </c>
      <c r="E11" s="103">
        <f t="shared" si="3"/>
        <v>1203800</v>
      </c>
      <c r="F11" s="103">
        <f t="shared" si="3"/>
        <v>1267882</v>
      </c>
      <c r="G11" s="27"/>
      <c r="H11" s="27"/>
      <c r="I11" s="27"/>
      <c r="J11" s="27"/>
      <c r="K11" s="27"/>
      <c r="L11" s="48" t="s">
        <v>48</v>
      </c>
      <c r="M11" s="68">
        <f>SUM(M7:M10)</f>
        <v>998550</v>
      </c>
      <c r="N11" s="68">
        <f t="shared" ref="N11" si="4">SUM(N7:N10)</f>
        <v>1008487.5</v>
      </c>
      <c r="O11" s="68">
        <f t="shared" ref="O11" si="5">SUM(O7:O10)</f>
        <v>1018465.25</v>
      </c>
      <c r="P11" s="68">
        <f t="shared" ref="P11" si="6">SUM(P7:P10)</f>
        <v>1028721.5</v>
      </c>
      <c r="Q11" s="68">
        <f t="shared" ref="Q11" si="7">SUM(Q7:Q10)</f>
        <v>1039019.75</v>
      </c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</row>
    <row r="12" spans="1:59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</row>
    <row r="13" spans="1:59">
      <c r="A13" s="104" t="s">
        <v>29</v>
      </c>
      <c r="B13" s="18"/>
      <c r="C13" s="18"/>
      <c r="D13" s="18"/>
      <c r="E13" s="18"/>
      <c r="F13" s="105"/>
      <c r="G13" s="27"/>
      <c r="H13" s="27"/>
      <c r="I13" s="27"/>
      <c r="J13" s="27"/>
      <c r="K13" s="27"/>
      <c r="L13" s="45" t="s">
        <v>29</v>
      </c>
      <c r="M13" s="1"/>
      <c r="N13" s="1"/>
      <c r="O13" s="1"/>
      <c r="P13" s="1"/>
      <c r="Q13" s="1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</row>
    <row r="14" spans="1:59">
      <c r="A14" s="22" t="s">
        <v>18</v>
      </c>
      <c r="B14" s="22" cm="1">
        <f t="array" ref="B14">currentyear</f>
        <v>2026</v>
      </c>
      <c r="C14" s="22">
        <f>B14+1</f>
        <v>2027</v>
      </c>
      <c r="D14" s="22">
        <f t="shared" ref="D14:F14" si="8">C14+1</f>
        <v>2028</v>
      </c>
      <c r="E14" s="22">
        <f t="shared" si="8"/>
        <v>2029</v>
      </c>
      <c r="F14" s="22">
        <f t="shared" si="8"/>
        <v>2030</v>
      </c>
      <c r="G14" s="27"/>
      <c r="H14" s="27"/>
      <c r="I14" s="27"/>
      <c r="J14" s="27"/>
      <c r="K14" s="27"/>
      <c r="L14" s="22" t="s">
        <v>18</v>
      </c>
      <c r="M14" s="22" cm="1">
        <f t="array" ref="M14">currentyear</f>
        <v>2026</v>
      </c>
      <c r="N14" s="22">
        <f>M14+1</f>
        <v>2027</v>
      </c>
      <c r="O14" s="22">
        <f t="shared" ref="O14:Q14" si="9">N14+1</f>
        <v>2028</v>
      </c>
      <c r="P14" s="22">
        <f t="shared" si="9"/>
        <v>2029</v>
      </c>
      <c r="Q14" s="22">
        <f t="shared" si="9"/>
        <v>2030</v>
      </c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</row>
    <row r="15" spans="1:59">
      <c r="A15" s="60" t="s">
        <v>43</v>
      </c>
      <c r="B15" s="61" cm="1">
        <f t="array" ref="B15">num_accountsRS2</f>
        <v>550</v>
      </c>
      <c r="C15" s="62" cm="1">
        <f t="array" ref="C15">ROUND(B15*(1+pop_growth_rate),0)</f>
        <v>556</v>
      </c>
      <c r="D15" s="62" cm="1">
        <f t="array" ref="D15">ROUND(C15*(1+pop_growth_rate),0)</f>
        <v>562</v>
      </c>
      <c r="E15" s="62" cm="1">
        <f t="array" ref="E15">ROUND(D15*(1+pop_growth_rate),0)</f>
        <v>568</v>
      </c>
      <c r="F15" s="62" cm="1">
        <f t="array" ref="F15">ROUND(E15*(1+pop_growth_rate),0)</f>
        <v>574</v>
      </c>
      <c r="G15" s="27"/>
      <c r="H15" s="27"/>
      <c r="I15" s="27"/>
      <c r="J15" s="27"/>
      <c r="K15" s="27"/>
      <c r="L15" s="60" t="s">
        <v>43</v>
      </c>
      <c r="M15" s="61" cm="1">
        <f t="array" ref="M15">num_accountsRS2</f>
        <v>550</v>
      </c>
      <c r="N15" s="62" cm="1">
        <f t="array" ref="N15">ROUND(M15*(1+pop_growth_rate),0)</f>
        <v>556</v>
      </c>
      <c r="O15" s="62" cm="1">
        <f t="array" ref="O15">ROUND(N15*(1+pop_growth_rate),0)</f>
        <v>562</v>
      </c>
      <c r="P15" s="62" cm="1">
        <f t="array" ref="P15">ROUND(O15*(1+pop_growth_rate),0)</f>
        <v>568</v>
      </c>
      <c r="Q15" s="62" cm="1">
        <f t="array" ref="Q15">ROUND(P15*(1+pop_growth_rate),0)</f>
        <v>574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</row>
    <row r="16" spans="1:59">
      <c r="A16" s="60" t="s">
        <v>44</v>
      </c>
      <c r="B16" s="106" cm="1">
        <f t="array" ref="B16:F16">base_chargeRS2 * 12 * RS2_num_accounts</f>
        <v>165000</v>
      </c>
      <c r="C16" s="107">
        <v>193488</v>
      </c>
      <c r="D16" s="107">
        <v>195576</v>
      </c>
      <c r="E16" s="107">
        <v>197664</v>
      </c>
      <c r="F16" s="107">
        <v>206640</v>
      </c>
      <c r="G16" s="27"/>
      <c r="H16" s="27"/>
      <c r="I16" s="27"/>
      <c r="J16" s="27"/>
      <c r="K16" s="27"/>
      <c r="L16" s="22" t="s">
        <v>44</v>
      </c>
      <c r="M16" s="58" cm="1">
        <f t="array" ref="M16:Q16">RS2_base_charge2026 * 12 * RS2_num_accounts</f>
        <v>165000</v>
      </c>
      <c r="N16" s="55">
        <v>166800</v>
      </c>
      <c r="O16" s="55">
        <v>168600</v>
      </c>
      <c r="P16" s="55">
        <v>170400</v>
      </c>
      <c r="Q16" s="55">
        <v>172200</v>
      </c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</row>
    <row r="17" spans="1:59">
      <c r="A17" s="22" t="s">
        <v>45</v>
      </c>
      <c r="B17" s="59" cm="1">
        <f t="array" ref="B17:B19">RS2_block_consumption2026 * RS2_vrates2026</f>
        <v>216000</v>
      </c>
      <c r="C17" s="56" cm="1">
        <f t="array" ref="C17:C19">RS2_block_consumption2027 * RS2_vrates2027</f>
        <v>181800</v>
      </c>
      <c r="D17" s="56" cm="1">
        <f t="array" ref="D17:D19">RS2_block_consumption2028 * RS2_vrates2028</f>
        <v>220341</v>
      </c>
      <c r="E17" s="56" cm="1">
        <f t="array" ref="E17:E19">RS2_block_consumption2029 * RS2_vrates2029</f>
        <v>222543</v>
      </c>
      <c r="F17" s="56" cm="1">
        <f t="array" ref="F17:F19">RS2_block_consumption2030 * RS2_vrates2030</f>
        <v>224769</v>
      </c>
      <c r="G17" s="27"/>
      <c r="H17" s="27"/>
      <c r="I17" s="27"/>
      <c r="J17" s="27"/>
      <c r="K17" s="27"/>
      <c r="L17" s="22" t="s">
        <v>45</v>
      </c>
      <c r="M17" s="59" cm="1">
        <f t="array" ref="M17:M19">RS2_block_consumption2026 * RS2_vrates2026</f>
        <v>216000</v>
      </c>
      <c r="N17" s="59" cm="1">
        <f t="array" ref="N17:N19">RS2_block_consumption2027 * RS2_vrates2026</f>
        <v>218160</v>
      </c>
      <c r="O17" s="59" cm="1">
        <f t="array" ref="O17:O19">RS2_block_consumption2028 * RS2_vrates2026</f>
        <v>220341</v>
      </c>
      <c r="P17" s="59" cm="1">
        <f t="array" ref="P17:P19">RS2_block_consumption2029 * RS2_vrates2026</f>
        <v>222543</v>
      </c>
      <c r="Q17" s="59" cm="1">
        <f t="array" ref="Q17:Q19">RS2_block_consumption2030 * RS2_vrates2026</f>
        <v>224769</v>
      </c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</row>
    <row r="18" spans="1:59">
      <c r="A18" s="22" t="s">
        <v>46</v>
      </c>
      <c r="B18" s="59">
        <v>60000</v>
      </c>
      <c r="C18" s="56">
        <v>65650</v>
      </c>
      <c r="D18" s="56">
        <v>66306.5</v>
      </c>
      <c r="E18" s="56">
        <v>66969.5</v>
      </c>
      <c r="F18" s="56">
        <v>67639</v>
      </c>
      <c r="G18" s="27"/>
      <c r="H18" s="27"/>
      <c r="I18" s="27"/>
      <c r="J18" s="27"/>
      <c r="K18" s="27"/>
      <c r="L18" s="22" t="s">
        <v>46</v>
      </c>
      <c r="M18" s="59">
        <v>60000</v>
      </c>
      <c r="N18" s="59">
        <v>60600</v>
      </c>
      <c r="O18" s="59">
        <v>61206</v>
      </c>
      <c r="P18" s="59">
        <v>61818</v>
      </c>
      <c r="Q18" s="59">
        <v>62436</v>
      </c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</row>
    <row r="19" spans="1:59">
      <c r="A19" s="69" t="s">
        <v>47</v>
      </c>
      <c r="B19" s="70">
        <v>0</v>
      </c>
      <c r="C19" s="71">
        <v>0</v>
      </c>
      <c r="D19" s="71">
        <v>0</v>
      </c>
      <c r="E19" s="71">
        <v>0</v>
      </c>
      <c r="F19" s="71">
        <v>0</v>
      </c>
      <c r="G19" s="27"/>
      <c r="H19" s="27"/>
      <c r="I19" s="27"/>
      <c r="J19" s="27"/>
      <c r="K19" s="27"/>
      <c r="L19" s="69" t="s">
        <v>47</v>
      </c>
      <c r="M19" s="70">
        <v>0</v>
      </c>
      <c r="N19" s="70">
        <v>0</v>
      </c>
      <c r="O19" s="70">
        <v>0</v>
      </c>
      <c r="P19" s="70">
        <v>0</v>
      </c>
      <c r="Q19" s="70">
        <v>0</v>
      </c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</row>
    <row r="20" spans="1:59">
      <c r="A20" s="48" t="s">
        <v>49</v>
      </c>
      <c r="B20" s="68">
        <f>SUM(B16:B19)</f>
        <v>441000</v>
      </c>
      <c r="C20" s="68">
        <f t="shared" ref="C20:F20" si="10">SUM(C16:C19)</f>
        <v>440938</v>
      </c>
      <c r="D20" s="68">
        <f t="shared" si="10"/>
        <v>482223.5</v>
      </c>
      <c r="E20" s="68">
        <f t="shared" si="10"/>
        <v>487176.5</v>
      </c>
      <c r="F20" s="68">
        <f t="shared" si="10"/>
        <v>499048</v>
      </c>
      <c r="G20" s="27"/>
      <c r="H20" s="27"/>
      <c r="I20" s="27"/>
      <c r="J20" s="27"/>
      <c r="K20" s="27"/>
      <c r="L20" s="48" t="s">
        <v>49</v>
      </c>
      <c r="M20" s="68">
        <f>SUM(M16:M19)</f>
        <v>441000</v>
      </c>
      <c r="N20" s="68">
        <f t="shared" ref="N20" si="11">SUM(N16:N19)</f>
        <v>445560</v>
      </c>
      <c r="O20" s="68">
        <f t="shared" ref="O20" si="12">SUM(O16:O19)</f>
        <v>450147</v>
      </c>
      <c r="P20" s="68">
        <f t="shared" ref="P20" si="13">SUM(P16:P19)</f>
        <v>454761</v>
      </c>
      <c r="Q20" s="68">
        <f t="shared" ref="Q20" si="14">SUM(Q16:Q19)</f>
        <v>459405</v>
      </c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</row>
    <row r="21" spans="1:59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</row>
    <row r="22" spans="1:59" ht="15.75">
      <c r="A22" s="53" t="s">
        <v>50</v>
      </c>
      <c r="B22" s="67">
        <f>SUM(B20+B11)</f>
        <v>1439550</v>
      </c>
      <c r="C22" s="67">
        <f t="shared" ref="C22:F22" si="15">SUM(C20+C11)</f>
        <v>1564250.5</v>
      </c>
      <c r="D22" s="67">
        <f t="shared" si="15"/>
        <v>1674016</v>
      </c>
      <c r="E22" s="67">
        <f t="shared" si="15"/>
        <v>1690976.5</v>
      </c>
      <c r="F22" s="67">
        <f t="shared" si="15"/>
        <v>1766930</v>
      </c>
      <c r="G22" s="27"/>
      <c r="H22" s="27"/>
      <c r="I22" s="27"/>
      <c r="J22" s="27"/>
      <c r="K22" s="27"/>
      <c r="L22" s="53" t="s">
        <v>50</v>
      </c>
      <c r="M22" s="67">
        <f>SUM(M20+M11)</f>
        <v>1439550</v>
      </c>
      <c r="N22" s="67">
        <f t="shared" ref="N22:Q22" si="16">SUM(N20+N11)</f>
        <v>1454047.5</v>
      </c>
      <c r="O22" s="67">
        <f t="shared" si="16"/>
        <v>1468612.25</v>
      </c>
      <c r="P22" s="67">
        <f t="shared" si="16"/>
        <v>1483482.5</v>
      </c>
      <c r="Q22" s="67">
        <f t="shared" si="16"/>
        <v>1498424.75</v>
      </c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</row>
    <row r="23" spans="1:59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</row>
    <row r="24" spans="1:59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</row>
    <row r="25" spans="1:59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 spans="1:59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 spans="1:59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</row>
    <row r="28" spans="1:59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</row>
    <row r="29" spans="1:5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59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59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59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</sheetData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workbookViewId="0">
      <selection activeCell="H12" sqref="H12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46" t="s">
        <v>51</v>
      </c>
      <c r="B1" s="46"/>
      <c r="C1" s="46"/>
      <c r="D1" s="46"/>
      <c r="E1" s="46"/>
      <c r="F1" s="46"/>
      <c r="G1" s="46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.75">
      <c r="A3" s="108" t="s">
        <v>52</v>
      </c>
      <c r="B3" s="109"/>
      <c r="C3" s="109"/>
      <c r="D3" s="109"/>
      <c r="E3" s="109"/>
      <c r="F3" s="110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</row>
    <row r="4" spans="1:17">
      <c r="A4" s="3" t="s">
        <v>18</v>
      </c>
      <c r="B4" s="89">
        <v>2026</v>
      </c>
      <c r="C4" s="89">
        <f>B4+1</f>
        <v>2027</v>
      </c>
      <c r="D4" s="89">
        <f t="shared" ref="D4:F4" si="0">C4+1</f>
        <v>2028</v>
      </c>
      <c r="E4" s="89">
        <f t="shared" si="0"/>
        <v>2029</v>
      </c>
      <c r="F4" s="101">
        <f t="shared" si="0"/>
        <v>2030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>
      <c r="A5" s="3" t="s">
        <v>20</v>
      </c>
      <c r="B5" s="51" cm="1">
        <f t="array" ref="B5:B11">expenses_value</f>
        <v>650000</v>
      </c>
      <c r="C5" s="47" cm="1">
        <f t="array" ref="C5">ROUND(B5*(1+inflation_rate),0)</f>
        <v>669500</v>
      </c>
      <c r="D5" s="47" cm="1">
        <f t="array" ref="D5">ROUND(C5*(1+inflation_rate),0)</f>
        <v>689585</v>
      </c>
      <c r="E5" s="47" cm="1">
        <f t="array" ref="E5">ROUND(D5*(1+inflation_rate),0)</f>
        <v>710273</v>
      </c>
      <c r="F5" s="47" cm="1">
        <f t="array" ref="F5">ROUND(E5*(1+inflation_rate),0)</f>
        <v>731581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1:17">
      <c r="A6" s="3" t="s">
        <v>24</v>
      </c>
      <c r="B6" s="51">
        <v>110000</v>
      </c>
      <c r="C6" s="47" cm="1">
        <f t="array" ref="C6">ROUND(B6*(1+inflation_rate),0)</f>
        <v>113300</v>
      </c>
      <c r="D6" s="47" cm="1">
        <f t="array" ref="D6">ROUND(C6*(1+inflation_rate),0)</f>
        <v>116699</v>
      </c>
      <c r="E6" s="47" cm="1">
        <f t="array" ref="E6">ROUND(D6*(1+inflation_rate),0)</f>
        <v>120200</v>
      </c>
      <c r="F6" s="47" cm="1">
        <f t="array" ref="F6">ROUND(E6*(1+inflation_rate),0)</f>
        <v>123806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</row>
    <row r="7" spans="1:17">
      <c r="A7" s="81" t="s">
        <v>27</v>
      </c>
      <c r="B7" s="51">
        <v>85000</v>
      </c>
      <c r="C7" s="47" cm="1">
        <f t="array" ref="C7">ROUND(B7*(1+inflation_rate),0)</f>
        <v>87550</v>
      </c>
      <c r="D7" s="47" cm="1">
        <f t="array" ref="D7">ROUND(C7*(1+inflation_rate),0)</f>
        <v>90177</v>
      </c>
      <c r="E7" s="47" cm="1">
        <f t="array" ref="E7">ROUND(D7*(1+inflation_rate),0)</f>
        <v>92882</v>
      </c>
      <c r="F7" s="47" cm="1">
        <f t="array" ref="F7">ROUND(E7*(1+inflation_rate),0)</f>
        <v>95668</v>
      </c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</row>
    <row r="8" spans="1:17">
      <c r="A8" s="1" t="s">
        <v>28</v>
      </c>
      <c r="B8" s="111">
        <v>85000</v>
      </c>
      <c r="C8" s="112" cm="1">
        <f t="array" ref="C8">ROUND(B8*(1+inflation_rate),0)</f>
        <v>87550</v>
      </c>
      <c r="D8" s="112" cm="1">
        <f t="array" ref="D8">ROUND(C8*(1+inflation_rate),0)</f>
        <v>90177</v>
      </c>
      <c r="E8" s="112" cm="1">
        <f t="array" ref="E8">ROUND(D8*(1+inflation_rate),0)</f>
        <v>92882</v>
      </c>
      <c r="F8" s="112" cm="1">
        <f t="array" ref="F8">ROUND(E8*(1+inflation_rate),0)</f>
        <v>95668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</row>
    <row r="9" spans="1:17">
      <c r="A9" s="1" t="s">
        <v>30</v>
      </c>
      <c r="B9" s="51">
        <v>74000</v>
      </c>
      <c r="C9" s="47" cm="1">
        <f t="array" ref="C9">ROUND(B9*(1+inflation_rate),0)</f>
        <v>76220</v>
      </c>
      <c r="D9" s="47" cm="1">
        <f t="array" ref="D9">ROUND(C9*(1+inflation_rate),0)</f>
        <v>78507</v>
      </c>
      <c r="E9" s="47" cm="1">
        <f t="array" ref="E9">ROUND(D9*(1+inflation_rate),0)</f>
        <v>80862</v>
      </c>
      <c r="F9" s="47" cm="1">
        <f t="array" ref="F9">ROUND(E9*(1+inflation_rate),0)</f>
        <v>83288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</row>
    <row r="10" spans="1:17">
      <c r="A10" s="1" t="s">
        <v>32</v>
      </c>
      <c r="B10" s="51">
        <v>200000</v>
      </c>
      <c r="C10" s="47" cm="1">
        <f t="array" ref="C10">ROUND(B10*(1+inflation_rate),0)</f>
        <v>206000</v>
      </c>
      <c r="D10" s="47" cm="1">
        <f t="array" ref="D10">ROUND(C10*(1+inflation_rate),0)</f>
        <v>212180</v>
      </c>
      <c r="E10" s="47" cm="1">
        <f t="array" ref="E10">ROUND(D10*(1+inflation_rate),0)</f>
        <v>218545</v>
      </c>
      <c r="F10" s="47" cm="1">
        <f t="array" ref="F10">ROUND(E10*(1+inflation_rate),0)</f>
        <v>225101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</row>
    <row r="11" spans="1:17">
      <c r="A11" s="1" t="s">
        <v>34</v>
      </c>
      <c r="B11" s="52">
        <v>96000</v>
      </c>
      <c r="C11" s="50" cm="1">
        <f t="array" ref="C11">ROUND(B11*(1+inflation_rate),0)</f>
        <v>98880</v>
      </c>
      <c r="D11" s="50" cm="1">
        <f t="array" ref="D11">ROUND(C11*(1+inflation_rate),0)</f>
        <v>101846</v>
      </c>
      <c r="E11" s="50" cm="1">
        <f t="array" ref="E11">ROUND(D11*(1+inflation_rate),0)</f>
        <v>104901</v>
      </c>
      <c r="F11" s="50" cm="1">
        <f t="array" ref="F11">ROUND(E11*(1+inflation_rate),0)</f>
        <v>108048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</row>
    <row r="12" spans="1:17">
      <c r="A12" s="48" t="s">
        <v>53</v>
      </c>
      <c r="B12" s="49">
        <f>SUM(B5:B11)</f>
        <v>1300000</v>
      </c>
      <c r="C12" s="49">
        <f t="shared" ref="C12:F12" si="1">SUM(C5:C11)</f>
        <v>1339000</v>
      </c>
      <c r="D12" s="49">
        <f t="shared" si="1"/>
        <v>1379171</v>
      </c>
      <c r="E12" s="49">
        <f t="shared" si="1"/>
        <v>1420545</v>
      </c>
      <c r="F12" s="49">
        <f t="shared" si="1"/>
        <v>1463160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</row>
    <row r="13" spans="1:17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</row>
    <row r="14" spans="1:17" ht="15.75">
      <c r="A14" s="108" t="s">
        <v>54</v>
      </c>
      <c r="B14" s="109"/>
      <c r="C14" s="109"/>
      <c r="D14" s="109"/>
      <c r="E14" s="109"/>
      <c r="F14" s="110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</row>
    <row r="15" spans="1:17">
      <c r="A15" s="113" t="s">
        <v>18</v>
      </c>
      <c r="B15" s="89">
        <v>2026</v>
      </c>
      <c r="C15" s="89">
        <f>B15+1</f>
        <v>2027</v>
      </c>
      <c r="D15" s="89">
        <f>C15+1</f>
        <v>2028</v>
      </c>
      <c r="E15" s="89">
        <f>D15+1</f>
        <v>2029</v>
      </c>
      <c r="F15" s="101">
        <f>E15+1</f>
        <v>2030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</row>
    <row r="16" spans="1:17">
      <c r="A16" s="114" t="s">
        <v>54</v>
      </c>
      <c r="B16" s="115" cm="1">
        <f t="array" ref="B16:F16">debt_service_values</f>
        <v>165000</v>
      </c>
      <c r="C16" s="115">
        <v>165000</v>
      </c>
      <c r="D16" s="115">
        <v>175000</v>
      </c>
      <c r="E16" s="115">
        <v>175000</v>
      </c>
      <c r="F16" s="115">
        <v>175000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</row>
    <row r="17" spans="1: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spans="1:17" ht="15.75">
      <c r="A18" s="53" t="s">
        <v>55</v>
      </c>
      <c r="B18" s="54">
        <f>SUM(B16+B12)</f>
        <v>1465000</v>
      </c>
      <c r="C18" s="54">
        <f t="shared" ref="C18:F18" si="2">SUM(C16+C12)</f>
        <v>1504000</v>
      </c>
      <c r="D18" s="54">
        <f t="shared" si="2"/>
        <v>1554171</v>
      </c>
      <c r="E18" s="54">
        <f t="shared" si="2"/>
        <v>1595545</v>
      </c>
      <c r="F18" s="54">
        <f t="shared" si="2"/>
        <v>1638160</v>
      </c>
      <c r="G18" s="27" t="s">
        <v>56</v>
      </c>
      <c r="H18" s="27"/>
      <c r="I18" s="27"/>
      <c r="J18" s="27"/>
      <c r="K18" s="27"/>
      <c r="L18" s="27"/>
      <c r="M18" s="27"/>
      <c r="N18" s="27"/>
      <c r="O18" s="27"/>
      <c r="P18" s="27"/>
      <c r="Q18" s="27"/>
    </row>
    <row r="19" spans="1:17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1:17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</row>
    <row r="21" spans="1:17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</row>
    <row r="22" spans="1:17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</row>
    <row r="23" spans="1:17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</row>
    <row r="25" spans="1:17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</row>
    <row r="26" spans="1:17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spans="1:1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</row>
    <row r="28" spans="1:17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</row>
    <row r="29" spans="1:17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1:17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spans="1:17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1:17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</row>
    <row r="33" spans="1:17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</sheetData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P31"/>
  <sheetViews>
    <sheetView workbookViewId="0">
      <selection activeCell="C21" sqref="C21"/>
    </sheetView>
  </sheetViews>
  <sheetFormatPr defaultRowHeight="15"/>
  <cols>
    <col min="1" max="1" width="31.42578125" customWidth="1"/>
    <col min="2" max="6" width="13.28515625" bestFit="1" customWidth="1"/>
  </cols>
  <sheetData>
    <row r="1" spans="1:16" ht="18.75">
      <c r="A1" s="46" t="s">
        <v>57</v>
      </c>
      <c r="B1" s="46"/>
      <c r="C1" s="46"/>
      <c r="D1" s="46"/>
      <c r="E1" s="46"/>
      <c r="F1" s="46"/>
      <c r="G1" s="46"/>
      <c r="H1" s="46"/>
      <c r="I1" s="27"/>
      <c r="J1" s="27"/>
      <c r="K1" s="27"/>
      <c r="L1" s="27"/>
      <c r="M1" s="27"/>
      <c r="N1" s="27"/>
      <c r="O1" s="27"/>
      <c r="P1" s="27"/>
    </row>
    <row r="2" spans="1:16" ht="18.75">
      <c r="A2" s="73"/>
      <c r="B2" s="73"/>
      <c r="C2" s="73"/>
      <c r="D2" s="73"/>
      <c r="E2" s="73"/>
      <c r="F2" s="73"/>
      <c r="G2" s="73"/>
      <c r="H2" s="73"/>
      <c r="I2" s="27"/>
      <c r="J2" s="27"/>
      <c r="K2" s="27"/>
      <c r="L2" s="27"/>
      <c r="M2" s="27"/>
      <c r="N2" s="27"/>
      <c r="O2" s="27"/>
      <c r="P2" s="27"/>
    </row>
    <row r="3" spans="1:16">
      <c r="A3" s="64" t="s">
        <v>18</v>
      </c>
      <c r="B3" s="22" cm="1">
        <f t="array" ref="B3">currentyear</f>
        <v>2026</v>
      </c>
      <c r="C3" s="22">
        <f>B3+1</f>
        <v>2027</v>
      </c>
      <c r="D3" s="22">
        <f t="shared" ref="D3:F3" si="0">C3+1</f>
        <v>2028</v>
      </c>
      <c r="E3" s="22">
        <f t="shared" si="0"/>
        <v>2029</v>
      </c>
      <c r="F3" s="22">
        <f t="shared" si="0"/>
        <v>2030</v>
      </c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1:16">
      <c r="A4" s="78" t="s">
        <v>58</v>
      </c>
      <c r="B4" s="76" cm="1">
        <f t="array" ref="B4:F4">total_operating_revenue_row</f>
        <v>1439550</v>
      </c>
      <c r="C4" s="76">
        <v>1564250.5</v>
      </c>
      <c r="D4" s="76">
        <v>1674016</v>
      </c>
      <c r="E4" s="76">
        <v>1690976.5</v>
      </c>
      <c r="F4" s="77">
        <v>1766930</v>
      </c>
      <c r="G4" s="27"/>
      <c r="H4" s="27"/>
      <c r="I4" s="27"/>
      <c r="J4" s="27"/>
      <c r="K4" s="27"/>
      <c r="L4" s="27"/>
      <c r="M4" s="27"/>
      <c r="N4" s="27"/>
      <c r="O4" s="27"/>
      <c r="P4" s="27"/>
    </row>
    <row r="5" spans="1:16">
      <c r="A5" s="78" t="s">
        <v>55</v>
      </c>
      <c r="B5" s="76" cm="1">
        <f t="array" ref="B5:F5">total_cost_of_service_row</f>
        <v>1465000</v>
      </c>
      <c r="C5" s="76">
        <v>1504000</v>
      </c>
      <c r="D5" s="76">
        <v>1554171</v>
      </c>
      <c r="E5" s="76">
        <v>1595545</v>
      </c>
      <c r="F5" s="77">
        <v>1638160</v>
      </c>
      <c r="G5" s="27"/>
      <c r="H5" s="27"/>
      <c r="I5" s="27"/>
      <c r="J5" s="27"/>
      <c r="K5" s="27"/>
      <c r="L5" s="27"/>
      <c r="M5" s="27"/>
      <c r="N5" s="27"/>
      <c r="O5" s="27"/>
      <c r="P5" s="27"/>
    </row>
    <row r="6" spans="1:16">
      <c r="A6" s="78" t="s">
        <v>59</v>
      </c>
      <c r="B6" s="76">
        <f>B4-B5</f>
        <v>-25450</v>
      </c>
      <c r="C6" s="76">
        <f t="shared" ref="C6:F6" si="1">C4-C5</f>
        <v>60250.5</v>
      </c>
      <c r="D6" s="76">
        <f t="shared" si="1"/>
        <v>119845</v>
      </c>
      <c r="E6" s="76">
        <f t="shared" si="1"/>
        <v>95431.5</v>
      </c>
      <c r="F6" s="77">
        <f t="shared" si="1"/>
        <v>128770</v>
      </c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84" t="s">
        <v>60</v>
      </c>
      <c r="B7" s="85">
        <f>B6</f>
        <v>-25450</v>
      </c>
      <c r="C7" s="85">
        <f>B7+C6</f>
        <v>34800.5</v>
      </c>
      <c r="D7" s="85">
        <f t="shared" ref="D7:F7" si="2">C7+D6</f>
        <v>154645.5</v>
      </c>
      <c r="E7" s="85">
        <f t="shared" si="2"/>
        <v>250077</v>
      </c>
      <c r="F7" s="86">
        <f t="shared" si="2"/>
        <v>378847</v>
      </c>
      <c r="G7" s="27"/>
      <c r="H7" s="27"/>
      <c r="I7" s="27"/>
      <c r="J7" s="27"/>
      <c r="K7" s="27"/>
      <c r="L7" s="27"/>
      <c r="M7" s="27"/>
      <c r="N7" s="27"/>
      <c r="O7" s="27"/>
      <c r="P7" s="27"/>
    </row>
    <row r="8" spans="1:16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</row>
    <row r="9" spans="1:16">
      <c r="A9" s="64" t="s">
        <v>18</v>
      </c>
      <c r="B9" s="22" cm="1">
        <f t="array" ref="B9">currentyear</f>
        <v>2026</v>
      </c>
      <c r="C9" s="22">
        <f>B9+1</f>
        <v>2027</v>
      </c>
      <c r="D9" s="22">
        <f t="shared" ref="D9:F9" si="3">C9+1</f>
        <v>2028</v>
      </c>
      <c r="E9" s="22">
        <f t="shared" si="3"/>
        <v>2029</v>
      </c>
      <c r="F9" s="22">
        <f t="shared" si="3"/>
        <v>2030</v>
      </c>
      <c r="G9" s="27"/>
      <c r="H9" s="27"/>
      <c r="I9" s="27"/>
      <c r="J9" s="27"/>
      <c r="K9" s="27"/>
      <c r="L9" s="27"/>
      <c r="M9" s="27"/>
      <c r="N9" s="27"/>
      <c r="O9" s="27"/>
      <c r="P9" s="27"/>
    </row>
    <row r="10" spans="1:16">
      <c r="A10" s="3" t="s">
        <v>61</v>
      </c>
      <c r="B10" s="76" cm="1">
        <f t="array" ref="B10:F10">total_operating_revenue_row - total_operating_expenses</f>
        <v>139550</v>
      </c>
      <c r="C10" s="76">
        <v>225250.5</v>
      </c>
      <c r="D10" s="76">
        <v>294845</v>
      </c>
      <c r="E10" s="76">
        <v>270431.5</v>
      </c>
      <c r="F10" s="77">
        <v>303770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>
      <c r="A11" s="3" t="s">
        <v>54</v>
      </c>
      <c r="B11" s="76" cm="1">
        <f t="array" ref="B11:F11">debt_service_values</f>
        <v>165000</v>
      </c>
      <c r="C11" s="76">
        <v>165000</v>
      </c>
      <c r="D11" s="76">
        <v>175000</v>
      </c>
      <c r="E11" s="76">
        <v>175000</v>
      </c>
      <c r="F11" s="77">
        <v>175000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spans="1:16" ht="21" customHeight="1">
      <c r="A12" s="78" t="s">
        <v>62</v>
      </c>
      <c r="B12" s="79">
        <f>B10/B11</f>
        <v>0.84575757575757571</v>
      </c>
      <c r="C12" s="79">
        <f t="shared" ref="C12:F12" si="4">C10/C11</f>
        <v>1.3651545454545455</v>
      </c>
      <c r="D12" s="79">
        <f t="shared" si="4"/>
        <v>1.6848285714285713</v>
      </c>
      <c r="E12" s="79">
        <f t="shared" si="4"/>
        <v>1.5453228571428572</v>
      </c>
      <c r="F12" s="80">
        <f t="shared" si="4"/>
        <v>1.7358285714285715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</row>
    <row r="13" spans="1:16">
      <c r="A13" s="81" t="s">
        <v>63</v>
      </c>
      <c r="B13" s="82" t="str" cm="1">
        <f t="array" ref="B13">IF(B12&gt;=target_dscr, "Sufficient", "Insufficient")</f>
        <v>Insufficient</v>
      </c>
      <c r="C13" s="82" t="str" cm="1">
        <f t="array" ref="C13">IF(C12&gt;=target_dscr, "Sufficient", "Insufficient")</f>
        <v>Sufficient</v>
      </c>
      <c r="D13" s="82" t="str" cm="1">
        <f t="array" ref="D13">IF(D12&gt;=target_dscr, "Sufficient", "Insufficient")</f>
        <v>Sufficient</v>
      </c>
      <c r="E13" s="82" t="str" cm="1">
        <f t="array" ref="E13">IF(E12&gt;=target_dscr, "Sufficient", "Insufficient")</f>
        <v>Sufficient</v>
      </c>
      <c r="F13" s="83" t="str" cm="1">
        <f t="array" ref="F13">IF(F12&gt;=target_dscr, "Sufficient", "Insufficient")</f>
        <v>Sufficient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</row>
    <row r="14" spans="1:16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spans="1:16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</row>
    <row r="16" spans="1: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16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spans="1:16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</row>
    <row r="19" spans="1:16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</row>
    <row r="20" spans="1:16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spans="1:16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</row>
    <row r="22" spans="1:16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</row>
    <row r="23" spans="1:16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spans="1:16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</row>
    <row r="25" spans="1:16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</row>
    <row r="26" spans="1:1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spans="1:16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</row>
    <row r="28" spans="1:16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</row>
    <row r="29" spans="1:16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spans="1:16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</row>
    <row r="31" spans="1:16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</row>
  </sheetData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2026-05-29T23:11:59Z</dcterms:modified>
  <cp:category/>
  <cp:contentStatus/>
</cp:coreProperties>
</file>