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04C27E69-0928-416A-8C55-3B10933BF7A6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Inputs" sheetId="1" r:id="rId1"/>
    <sheet name="Dashboard" sheetId="5" r:id="rId2"/>
    <sheet name="Revenue_Model" sheetId="2" r:id="rId3"/>
    <sheet name="Expense_Model" sheetId="3" r:id="rId4"/>
    <sheet name="Rate_Sufficiency_Analysis" sheetId="4" r:id="rId5"/>
  </sheets>
  <definedNames>
    <definedName name="base_chargeRS1">Inputs!$C$14:$G$14</definedName>
    <definedName name="base_chargeRS2">Inputs!$C$24:$G$24</definedName>
    <definedName name="currentyear">Inputs!$C$11:$C$11</definedName>
    <definedName name="debt_service_values">Inputs!$X$12:$AB$12</definedName>
    <definedName name="expenses_value">Inputs!$R$12:$R$18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rate_structure_1">Inputs!$A$14:$A$14</definedName>
    <definedName name="rate_structure_2">Inputs!$A$24:$A$24</definedName>
    <definedName name="RS1_base_charge2026">Inputs!$C$14:$C$14</definedName>
    <definedName name="RS1_block_consumption2026">Inputs!$K$13:$K$15</definedName>
    <definedName name="RS1_block_consumption2027">Inputs!$L$13:$L$15</definedName>
    <definedName name="RS1_block_consumption2028">Inputs!$M$13:$M$15</definedName>
    <definedName name="RS1_block_consumption2029">Inputs!$N$13:$N$15</definedName>
    <definedName name="RS1_block_consumption2030">Inputs!$O$13:$O$15</definedName>
    <definedName name="RS1_num_accounts">Revenue_Model!$B$6:$F$6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ase_charge2026">Inputs!$C$24:$C$24</definedName>
    <definedName name="RS2_block_consumption2026">Inputs!$K$18:$K$20</definedName>
    <definedName name="RS2_block_consumption2027">Inputs!$L$18:$L$20</definedName>
    <definedName name="RS2_block_consumption2028">Inputs!$M$18:$M$20</definedName>
    <definedName name="RS2_block_consumption2029">Inputs!$N$18:$N$20</definedName>
    <definedName name="RS2_block_consumption2030">Inputs!$O$18:$O$20</definedName>
    <definedName name="RS2_num_accounts">Revenue_Model!$B$15:$F$15</definedName>
    <definedName name="RS2_num_accounts_currentyear">Inputs!$A$26:$A$26</definedName>
    <definedName name="RS2_vrates2026">Inputs!$C$29:$C$31</definedName>
    <definedName name="RS2_vrates2027">Inputs!$D$29:$D$31</definedName>
    <definedName name="RS2_vrates2028">Inputs!$E$29:$E$31</definedName>
    <definedName name="RS2_vrates2029">Inputs!$F$29:$F$31</definedName>
    <definedName name="RS2_vrates2030">Inputs!$G$29:$G$31</definedName>
    <definedName name="target_dscr">Inputs!$E$9:$E$9</definedName>
    <definedName name="total_cost_of_service_row">Expense_Model!$B$18:$F$18</definedName>
    <definedName name="total_operating_expenses">Expense_Model!$B$12:$F$12</definedName>
    <definedName name="total_operating_revenue_row">Revenue_Model!$B$22:$F$22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2" l="1" a="1"/>
  <c r="B17" i="2"/>
  <c r="B8" i="2" a="1"/>
  <c r="B8" i="2"/>
  <c r="M17" i="2" a="1"/>
  <c r="M17" i="2"/>
  <c r="M8" i="2" a="1"/>
  <c r="M8" i="2"/>
  <c r="B5" i="3" a="1"/>
  <c r="B5" i="3"/>
  <c r="L19" i="1" a="1"/>
  <c r="L19" i="1"/>
  <c r="M19" i="1" a="1"/>
  <c r="M19" i="1"/>
  <c r="N19" i="1" a="1"/>
  <c r="N19" i="1"/>
  <c r="O19" i="1" a="1"/>
  <c r="O19" i="1"/>
  <c r="L20" i="1" a="1"/>
  <c r="L20" i="1"/>
  <c r="M20" i="1" a="1"/>
  <c r="M20" i="1"/>
  <c r="N20" i="1" a="1"/>
  <c r="N20" i="1"/>
  <c r="O20" i="1" a="1"/>
  <c r="O20" i="1"/>
  <c r="L18" i="1" a="1"/>
  <c r="L18" i="1"/>
  <c r="L13" i="1" a="1"/>
  <c r="L13" i="1"/>
  <c r="L14" i="1" a="1"/>
  <c r="L14" i="1"/>
  <c r="M14" i="1" a="1"/>
  <c r="M14" i="1"/>
  <c r="N14" i="1" a="1"/>
  <c r="N14" i="1"/>
  <c r="O14" i="1" a="1"/>
  <c r="O14" i="1"/>
  <c r="L15" i="1" a="1"/>
  <c r="L15" i="1"/>
  <c r="M15" i="1" a="1"/>
  <c r="M15" i="1"/>
  <c r="N15" i="1" a="1"/>
  <c r="N15" i="1"/>
  <c r="O15" i="1" a="1"/>
  <c r="O15" i="1"/>
  <c r="M13" i="1" a="1"/>
  <c r="M13" i="1"/>
  <c r="N13" i="1" a="1"/>
  <c r="N13" i="1"/>
  <c r="O13" i="1" a="1"/>
  <c r="O13" i="1"/>
  <c r="K17" i="1" a="1"/>
  <c r="K17" i="1" s="1"/>
  <c r="L17" i="1" s="1"/>
  <c r="M17" i="1" s="1"/>
  <c r="N17" i="1" s="1"/>
  <c r="O17" i="1" s="1"/>
  <c r="K12" i="1" a="1"/>
  <c r="K12" i="1" s="1"/>
  <c r="L12" i="1" s="1"/>
  <c r="M12" i="1" s="1"/>
  <c r="N12" i="1" s="1"/>
  <c r="O12" i="1" s="1"/>
  <c r="A26" i="1"/>
  <c r="M6" i="2" a="1"/>
  <c r="M6" i="2"/>
  <c r="N6" i="2" s="1" a="1"/>
  <c r="N6" i="2" s="1"/>
  <c r="O6" i="2" s="1" a="1"/>
  <c r="O6" i="2" s="1"/>
  <c r="P6" i="2" s="1" a="1"/>
  <c r="P6" i="2" s="1"/>
  <c r="Q6" i="2" s="1" a="1"/>
  <c r="Q6" i="2" s="1"/>
  <c r="M15" i="2" a="1"/>
  <c r="M15" i="2" s="1"/>
  <c r="N15" i="2" s="1" a="1"/>
  <c r="N15" i="2" s="1"/>
  <c r="O15" i="2" s="1" a="1"/>
  <c r="O15" i="2" s="1"/>
  <c r="P15" i="2" s="1" a="1"/>
  <c r="P15" i="2" s="1"/>
  <c r="Q15" i="2" s="1" a="1"/>
  <c r="Q15" i="2" s="1"/>
  <c r="M14" i="2" a="1"/>
  <c r="M14" i="2" s="1"/>
  <c r="N14" i="2" s="1"/>
  <c r="O14" i="2" s="1"/>
  <c r="P14" i="2" s="1"/>
  <c r="Q14" i="2" s="1"/>
  <c r="M5" i="2" a="1"/>
  <c r="M5" i="2" s="1"/>
  <c r="N5" i="2" s="1"/>
  <c r="O5" i="2" s="1"/>
  <c r="P5" i="2" s="1"/>
  <c r="Q5" i="2" s="1"/>
  <c r="AB12" i="1"/>
  <c r="AA12" i="1"/>
  <c r="Z12" i="1"/>
  <c r="Y12" i="1"/>
  <c r="X12" i="1"/>
  <c r="B16" i="3" a="1"/>
  <c r="B16" i="3"/>
  <c r="T14" i="1"/>
  <c r="T15" i="1"/>
  <c r="T16" i="1"/>
  <c r="T17" i="1"/>
  <c r="Y11" i="1"/>
  <c r="Z11" i="1" s="1"/>
  <c r="AA11" i="1" s="1"/>
  <c r="AB11" i="1" s="1"/>
  <c r="B9" i="4" a="1"/>
  <c r="B9" i="4" s="1"/>
  <c r="C9" i="4" s="1"/>
  <c r="D9" i="4" s="1"/>
  <c r="E9" i="4" s="1"/>
  <c r="F9" i="4" s="1"/>
  <c r="B3" i="4" a="1"/>
  <c r="B3" i="4" s="1"/>
  <c r="C3" i="4" s="1"/>
  <c r="D3" i="4" s="1"/>
  <c r="E3" i="4" s="1"/>
  <c r="F3" i="4" s="1"/>
  <c r="B14" i="2" a="1"/>
  <c r="B14" i="2"/>
  <c r="B5" i="2" a="1"/>
  <c r="B5" i="2"/>
  <c r="B9" i="1"/>
  <c r="C15" i="3"/>
  <c r="D15" i="3" s="1"/>
  <c r="E15" i="3" s="1"/>
  <c r="F15" i="3" s="1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B15" i="2" a="1"/>
  <c r="B15" i="2"/>
  <c r="B6" i="2" a="1"/>
  <c r="B6" i="2"/>
  <c r="C14" i="2"/>
  <c r="D14" i="2" s="1"/>
  <c r="E14" i="2" s="1"/>
  <c r="F14" i="2" s="1"/>
  <c r="C5" i="2"/>
  <c r="D5" i="2" s="1"/>
  <c r="E5" i="2" s="1"/>
  <c r="F5" i="2" s="1"/>
  <c r="I18" i="1" a="1"/>
  <c r="I18" i="1"/>
  <c r="I13" i="1" a="1"/>
  <c r="I13" i="1"/>
  <c r="D11" i="1"/>
  <c r="E11" i="1" s="1"/>
  <c r="F11" i="1" s="1"/>
  <c r="G11" i="1" s="1"/>
  <c r="F8" i="2" l="1" a="1"/>
  <c r="F8" i="2" s="1"/>
  <c r="Q8" i="2" a="1"/>
  <c r="Q8" i="2" s="1"/>
  <c r="E8" i="2" a="1"/>
  <c r="E8" i="2" s="1"/>
  <c r="P8" i="2" a="1"/>
  <c r="P8" i="2" s="1"/>
  <c r="D8" i="2" a="1"/>
  <c r="D8" i="2" s="1"/>
  <c r="O8" i="2" a="1"/>
  <c r="O8" i="2" s="1"/>
  <c r="C8" i="2" a="1"/>
  <c r="C8" i="2" s="1"/>
  <c r="N8" i="2" a="1"/>
  <c r="N8" i="2" s="1"/>
  <c r="N17" i="2" a="1"/>
  <c r="N17" i="2" s="1"/>
  <c r="C17" i="2" a="1"/>
  <c r="C17" i="2" s="1"/>
  <c r="M18" i="1" a="1"/>
  <c r="M18" i="1" s="1"/>
  <c r="C15" i="2" a="1"/>
  <c r="C15" i="2" s="1"/>
  <c r="C6" i="2" a="1"/>
  <c r="C6" i="2" s="1"/>
  <c r="C12" i="3"/>
  <c r="C18" i="3" s="1"/>
  <c r="D5" i="3" a="1"/>
  <c r="D5" i="3" s="1"/>
  <c r="O17" i="2" l="1" a="1"/>
  <c r="O17" i="2" s="1"/>
  <c r="D17" i="2" a="1"/>
  <c r="D17" i="2" s="1"/>
  <c r="N18" i="1" a="1"/>
  <c r="N18" i="1" s="1"/>
  <c r="D15" i="2" a="1"/>
  <c r="D15" i="2" s="1"/>
  <c r="D6" i="2" a="1"/>
  <c r="D6" i="2" s="1"/>
  <c r="D12" i="3"/>
  <c r="D18" i="3" s="1"/>
  <c r="E5" i="3" a="1"/>
  <c r="E5" i="3" s="1"/>
  <c r="P17" i="2" l="1" a="1"/>
  <c r="P17" i="2" s="1"/>
  <c r="E17" i="2" a="1"/>
  <c r="E17" i="2" s="1"/>
  <c r="O18" i="1" a="1"/>
  <c r="O18" i="1" s="1"/>
  <c r="E6" i="2" a="1"/>
  <c r="E6" i="2" s="1"/>
  <c r="E15" i="2" a="1"/>
  <c r="E15" i="2" s="1"/>
  <c r="E12" i="3"/>
  <c r="E18" i="3" s="1"/>
  <c r="F5" i="3" a="1"/>
  <c r="F5" i="3" s="1"/>
  <c r="F12" i="3" s="1"/>
  <c r="F18" i="3" s="1"/>
  <c r="Q17" i="2" l="1" a="1"/>
  <c r="Q17" i="2" s="1"/>
  <c r="F17" i="2" a="1"/>
  <c r="F17" i="2" s="1"/>
  <c r="F6" i="2" a="1"/>
  <c r="F6" i="2" s="1"/>
  <c r="M7" i="2" s="1" a="1"/>
  <c r="M7" i="2" s="1"/>
  <c r="B7" i="2" a="1"/>
  <c r="F15" i="2" a="1"/>
  <c r="F15" i="2" s="1"/>
  <c r="M16" i="2" s="1" a="1"/>
  <c r="M16" i="2" s="1"/>
  <c r="B16" i="2" a="1"/>
  <c r="B18" i="3"/>
  <c r="B5" i="4" a="1"/>
  <c r="B11" i="4" a="1"/>
  <c r="C11" i="2" l="1"/>
  <c r="D11" i="2"/>
  <c r="E11" i="2"/>
  <c r="F11" i="2"/>
  <c r="B7" i="2"/>
  <c r="B11" i="2" s="1"/>
  <c r="Q11" i="2"/>
  <c r="P11" i="2"/>
  <c r="O11" i="2"/>
  <c r="N11" i="2"/>
  <c r="M11" i="2"/>
  <c r="C20" i="2"/>
  <c r="C22" i="2" s="1"/>
  <c r="D20" i="2"/>
  <c r="D22" i="2" s="1"/>
  <c r="E20" i="2"/>
  <c r="E22" i="2" s="1"/>
  <c r="F20" i="2"/>
  <c r="F22" i="2" s="1"/>
  <c r="B16" i="2"/>
  <c r="B20" i="2" s="1"/>
  <c r="B22" i="2" s="1"/>
  <c r="B4" i="4" s="1" a="1"/>
  <c r="B4" i="4" s="1"/>
  <c r="Q20" i="2"/>
  <c r="Q22" i="2" s="1"/>
  <c r="P20" i="2"/>
  <c r="P22" i="2" s="1"/>
  <c r="O20" i="2"/>
  <c r="O22" i="2" s="1"/>
  <c r="N20" i="2"/>
  <c r="N22" i="2" s="1"/>
  <c r="M20" i="2"/>
  <c r="M22" i="2" s="1"/>
  <c r="B11" i="4"/>
  <c r="B5" i="4"/>
  <c r="B10" i="4" l="1" a="1"/>
  <c r="Z4" i="2"/>
  <c r="AA4" i="2"/>
  <c r="AB4" i="2"/>
  <c r="AC4" i="2"/>
  <c r="B6" i="4" l="1"/>
  <c r="B7" i="4" s="1"/>
  <c r="C6" i="4"/>
  <c r="D6" i="4"/>
  <c r="D12" i="4" s="1"/>
  <c r="D13" i="4" s="1" a="1"/>
  <c r="D13" i="4" s="1"/>
  <c r="E6" i="4"/>
  <c r="E12" i="4" s="1"/>
  <c r="E13" i="4" s="1" a="1"/>
  <c r="E13" i="4" s="1"/>
  <c r="F6" i="4"/>
  <c r="F12" i="4" s="1"/>
  <c r="F13" i="4" s="1" a="1"/>
  <c r="F13" i="4" s="1"/>
  <c r="B10" i="4"/>
  <c r="B12" i="4" s="1"/>
  <c r="B13" i="4" s="1" a="1"/>
  <c r="B13" i="4" s="1"/>
  <c r="C12" i="4"/>
  <c r="C13" i="4" s="1" a="1"/>
  <c r="C13" i="4" s="1"/>
  <c r="C7" i="4" l="1"/>
  <c r="D7" i="4" s="1"/>
  <c r="E7" i="4" s="1"/>
  <c r="F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<sst xmlns="http://schemas.openxmlformats.org/spreadsheetml/2006/main" count="121" uniqueCount="64">
  <si>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</si>
  <si>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</si>
  <si>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</si>
  <si>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</si>
  <si>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</si>
  <si>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</si>
  <si>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</si>
  <si>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</si>
  <si>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</si>
  <si>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</si>
  <si>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</si>
  <si>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Target DSCR:</t>
  </si>
  <si>
    <t>Rate Structure(s)</t>
  </si>
  <si>
    <t>Year:</t>
  </si>
  <si>
    <t>Monthly Consumption Over Included Amount</t>
  </si>
  <si>
    <t>Annual Operating Expenses</t>
  </si>
  <si>
    <t>Annual Debt Service</t>
  </si>
  <si>
    <t>Year</t>
  </si>
  <si>
    <t>Rate Structure 1:</t>
  </si>
  <si>
    <t>Salaries</t>
  </si>
  <si>
    <t>Block 1:</t>
  </si>
  <si>
    <t>Chemicals/Treatments</t>
  </si>
  <si>
    <t>Residential water, inside</t>
  </si>
  <si>
    <t>Base Charge (monthly):</t>
  </si>
  <si>
    <t>Block 2:</t>
  </si>
  <si>
    <t>Energy and Utilities</t>
  </si>
  <si>
    <t>Consumption included with base charge (gallons/month):</t>
  </si>
  <si>
    <t>Block 3:</t>
  </si>
  <si>
    <t>Maintenance &amp; Repairs</t>
  </si>
  <si>
    <t>Administrative</t>
  </si>
  <si>
    <t>Rate Structure 2:</t>
  </si>
  <si>
    <t>Cash Reserves</t>
  </si>
  <si>
    <t>Block cutoffs, starts at 2000</t>
  </si>
  <si>
    <t>Other</t>
  </si>
  <si>
    <t>Block rate 1 ($/1000 gal)</t>
  </si>
  <si>
    <t>Block rate 2 ($/1000 gal)</t>
  </si>
  <si>
    <t>Block rate 3 ($/1000 gal)</t>
  </si>
  <si>
    <t>*In gallons/month, excluding included amount</t>
  </si>
  <si>
    <t>Residential water, outside</t>
  </si>
  <si>
    <t>Stringtown Water Utility Summary Dashboard</t>
  </si>
  <si>
    <t>Revenue Projections | 2026 - 2030</t>
  </si>
  <si>
    <t>Using Existing Rates</t>
  </si>
  <si>
    <t>Using New Rates Starting in 2027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</si>
  <si>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</si>
  <si>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</si>
  <si>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</si>
  <si>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</si>
  <si>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</si>
  <si>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</si>
  <si>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</si>
  <si>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</si>
  <si>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</si>
  <si>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</si>
  <si>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</si>
  <si>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</si>
  <si>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</si>
  <si>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</si>
  <si>
    <t>Rate Sufficiency Analysis | 2026 - 2030</t>
  </si>
  <si>
    <t>Total Revenue</t>
  </si>
  <si>
    <t>Annual Surplus (Deficit)</t>
  </si>
  <si>
    <t>Cumulative Surplus (Deficit)</t>
  </si>
  <si>
    <t>Net Operating Income</t>
  </si>
  <si>
    <t>Debt Service Coverage Ratio (DSCR)</t>
  </si>
  <si>
    <t>DSCR Sufficient?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</si>
</sst>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8" formatCode="&quot;$&quot;#,##0"/>
  </numFmts>
  <fonts count="10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6" fontId="0" fillId="3" borderId="1" xfId="0" applyNumberFormat="1" applyFon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0" fontId="7" fillId="4" borderId="0" xfId="0" applyFont="1" applyFill="1" applyAlignment="1">
      <alignment horizontal="center"/>
    </xf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8" fontId="1" fillId="2" borderId="1" xfId="0" applyNumberFormat="1" applyFont="1" applyFill="1" applyBorder="1"/>
    <xf numFmtId="3" fontId="1" fillId="2" borderId="10" xfId="0" applyNumberFormat="1" applyFont="1" applyFill="1" applyBorder="1"/>
    <xf numFmtId="8" fontId="1" fillId="2" borderId="10" xfId="0" applyNumberFormat="1" applyFont="1" applyFill="1" applyBorder="1"/>
    <xf numFmtId="168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8" fontId="1" fillId="2" borderId="4" xfId="0" applyNumberFormat="1" applyFont="1" applyFill="1" applyBorder="1"/>
    <xf numFmtId="168" fontId="1" fillId="2" borderId="12" xfId="0" applyNumberFormat="1" applyFont="1" applyFill="1" applyBorder="1"/>
    <xf numFmtId="6" fontId="1" fillId="2" borderId="4" xfId="0" applyNumberFormat="1" applyFont="1" applyFill="1" applyBorder="1"/>
    <xf numFmtId="0" fontId="7" fillId="4" borderId="0" xfId="0" applyFont="1" applyFill="1" applyAlignment="1">
      <alignment horizontal="center"/>
    </xf>
    <xf numFmtId="164" fontId="0" fillId="3" borderId="12" xfId="0" applyNumberFormat="1" applyFill="1" applyBorder="1"/>
    <xf numFmtId="0" fontId="2" fillId="2" borderId="7" xfId="0" applyFont="1" applyFill="1" applyBorder="1"/>
    <xf numFmtId="6" fontId="1" fillId="2" borderId="0" xfId="0" applyNumberFormat="1" applyFont="1" applyFill="1" applyBorder="1"/>
    <xf numFmtId="6" fontId="1" fillId="2" borderId="6" xfId="0" applyNumberFormat="1" applyFont="1" applyFill="1" applyBorder="1"/>
    <xf numFmtId="0" fontId="1" fillId="2" borderId="5" xfId="0" applyFont="1" applyFill="1" applyBorder="1" applyAlignment="1">
      <alignment wrapText="1"/>
    </xf>
    <xf numFmtId="2" fontId="1" fillId="2" borderId="0" xfId="0" applyNumberFormat="1" applyFont="1" applyFill="1" applyBorder="1"/>
    <xf numFmtId="2" fontId="1" fillId="2" borderId="6" xfId="0" applyNumberFormat="1" applyFont="1" applyFill="1" applyBorder="1"/>
    <xf numFmtId="0" fontId="1" fillId="2" borderId="7" xfId="0" applyFont="1" applyFill="1" applyBorder="1"/>
    <xf numFmtId="0" fontId="0" fillId="4" borderId="11" xfId="0" applyFill="1" applyBorder="1"/>
    <xf numFmtId="0" fontId="0" fillId="4" borderId="16" xfId="0" applyFill="1" applyBorder="1"/>
    <xf numFmtId="0" fontId="1" fillId="2" borderId="7" xfId="0" applyFont="1" applyFill="1" applyBorder="1" applyAlignment="1">
      <alignment wrapText="1"/>
    </xf>
    <xf numFmtId="6" fontId="1" fillId="2" borderId="11" xfId="0" applyNumberFormat="1" applyFont="1" applyFill="1" applyBorder="1"/>
    <xf numFmtId="6" fontId="1" fillId="2" borderId="16" xfId="0" applyNumberFormat="1" applyFont="1" applyFill="1" applyBorder="1"/>
    <xf numFmtId="0" fontId="0" fillId="0" borderId="0" xfId="0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2" borderId="0" xfId="0" applyFont="1" applyFill="1" applyBorder="1"/>
    <xf numFmtId="8" fontId="2" fillId="4" borderId="0" xfId="0" applyNumberFormat="1" applyFont="1" applyFill="1" applyBorder="1"/>
    <xf numFmtId="3" fontId="0" fillId="3" borderId="8" xfId="0" applyNumberFormat="1" applyFill="1" applyBorder="1"/>
    <xf numFmtId="0" fontId="9" fillId="4" borderId="0" xfId="0" applyFont="1" applyFill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vertical="top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2" fillId="2" borderId="5" xfId="0" applyFont="1" applyFill="1" applyBorder="1"/>
    <xf numFmtId="0" fontId="1" fillId="2" borderId="6" xfId="0" applyFont="1" applyFill="1" applyBorder="1"/>
    <xf numFmtId="0" fontId="2" fillId="2" borderId="17" xfId="0" applyFont="1" applyFill="1" applyBorder="1"/>
    <xf numFmtId="8" fontId="2" fillId="2" borderId="18" xfId="0" applyNumberFormat="1" applyFont="1" applyFill="1" applyBorder="1"/>
    <xf numFmtId="0" fontId="2" fillId="2" borderId="2" xfId="0" applyFont="1" applyFill="1" applyBorder="1"/>
    <xf numFmtId="0" fontId="1" fillId="2" borderId="4" xfId="0" applyFont="1" applyFill="1" applyBorder="1"/>
    <xf numFmtId="8" fontId="1" fillId="2" borderId="16" xfId="0" applyNumberFormat="1" applyFont="1" applyFill="1" applyBorder="1"/>
    <xf numFmtId="8" fontId="1" fillId="2" borderId="15" xfId="0" applyNumberFormat="1" applyFont="1" applyFill="1" applyBorder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6" fontId="1" fillId="2" borderId="7" xfId="0" applyNumberFormat="1" applyFont="1" applyFill="1" applyBorder="1"/>
    <xf numFmtId="6" fontId="1" fillId="2" borderId="15" xfId="0" applyNumberFormat="1" applyFont="1" applyFill="1" applyBorder="1"/>
    <xf numFmtId="0" fontId="1" fillId="2" borderId="5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left"/>
    </xf>
    <xf numFmtId="6" fontId="2" fillId="2" borderId="1" xfId="0" applyNumberFormat="1" applyFont="1" applyFill="1" applyBorder="1"/>
    <xf numFmtId="0" fontId="6" fillId="4" borderId="2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 wrapText="1"/>
    </xf>
    <xf numFmtId="0" fontId="0" fillId="4" borderId="7" xfId="0" applyFill="1" applyBorder="1"/>
    <xf numFmtId="0" fontId="0" fillId="3" borderId="7" xfId="0" applyFill="1" applyBorder="1" applyAlignment="1">
      <alignment horizontal="center" wrapText="1"/>
    </xf>
    <xf numFmtId="0" fontId="0" fillId="3" borderId="16" xfId="0" applyFill="1" applyBorder="1" applyAlignment="1">
      <alignment horizontal="center" wrapText="1"/>
    </xf>
    <xf numFmtId="0" fontId="8" fillId="2" borderId="5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2" borderId="3" xfId="0" applyFont="1" applyFill="1" applyBorder="1" applyAlignment="1">
      <alignment horizontal="right" vertical="center"/>
    </xf>
    <xf numFmtId="0" fontId="1" fillId="2" borderId="7" xfId="0" applyFont="1" applyFill="1" applyBorder="1" applyAlignment="1">
      <alignment horizontal="right" vertical="center"/>
    </xf>
    <xf numFmtId="0" fontId="1" fillId="2" borderId="11" xfId="0" applyFont="1" applyFill="1" applyBorder="1"/>
    <xf numFmtId="6" fontId="0" fillId="3" borderId="15" xfId="0" applyNumberFormat="1" applyFont="1" applyFill="1" applyBorder="1"/>
  </cellXfs>
  <cellStyles count="1">
    <cellStyle name="Normal" xfId="0" builtinId="0"/>
  </cellStyles>
  <dxfs count="4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Finances Under New and Existing Rates in the Next 5 Years (2026-2030)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Using Existing Rates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Revenue_Model!M22:Q22</c:f>
              <c:numCache>
                <c:formatCode>"$"#,##0.00_);[Red]\("$"#,##0.00\)</c:formatCode>
                <c:ptCount val="5"/>
                <c:pt idx="0">
                  <c:v>1439550</c:v>
                </c:pt>
                <c:pt idx="1">
                  <c:v>1454047.5</c:v>
                </c:pt>
                <c:pt idx="2">
                  <c:v>1468612.25</c:v>
                </c:pt>
                <c:pt idx="3">
                  <c:v>1483482.5</c:v>
                </c:pt>
                <c:pt idx="4">
                  <c:v>1498424.75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0-434C-A755-08C1B12F6173}"/>
            </c:ext>
          </c:extLst>
        </c:ser>
        <c:ser>
          <c:idx val="1"/>
          <c:order val="1"/>
          <c:tx>
            <c:v>Using New Rates</c:v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Rate_Sufficiency_Analysis!$B$4:$F$4</c:f>
              <c:numCache>
                <c:formatCode>"$"#,##0_);[Red]\("$"#,##0\)</c:formatCode>
                <c:ptCount val="5"/>
                <c:pt idx="0">
                  <c:v>1439550</c:v>
                </c:pt>
                <c:pt idx="1">
                  <c:v>1564250.5</c:v>
                </c:pt>
                <c:pt idx="2">
                  <c:v>1674016</c:v>
                </c:pt>
                <c:pt idx="3">
                  <c:v>1690976.5</c:v>
                </c:pt>
                <c:pt idx="4">
                  <c:v>1766930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6756616"/>
        <c:axId val="1447064584"/>
      </c:barChart>
      <c:lineChart>
        <c:grouping val="standard"/>
        <c:varyColors val="0"/>
        <c:ser>
          <c:idx val="2"/>
          <c:order val="2"/>
          <c:tx>
            <c:v>Expenses</c:v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Rate_Sufficiency_Analysis!$B$5:$F$5</c:f>
              <c:numCache>
                <c:formatCode>"$"#,##0_);[Red]\("$"#,##0\)</c:formatCode>
                <c:ptCount val="5"/>
                <c:pt idx="0">
                  <c:v>1465000</c:v>
                </c:pt>
                <c:pt idx="1">
                  <c:v>1504000</c:v>
                </c:pt>
                <c:pt idx="2">
                  <c:v>1554171</c:v>
                </c:pt>
                <c:pt idx="3">
                  <c:v>1595545</c:v>
                </c:pt>
                <c:pt idx="4">
                  <c:v>1638160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756616"/>
        <c:axId val="1447064584"/>
      </c:line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2</xdr:row>
      <xdr:rowOff>76200</xdr:rowOff>
    </xdr:from>
    <xdr:to>
      <xdr:col>6</xdr:col>
      <xdr:colOff>485775</xdr:colOff>
      <xdr:row>19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55DC1-E0A5-E535-BF13-A1A65604F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topLeftCell="A10" workbookViewId="0">
      <selection activeCell="W20" sqref="W20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0" max="10" width="12.5703125" customWidth="1"/>
    <col min="11" max="11" width="10.5703125" bestFit="1" customWidth="1"/>
    <col min="12" max="15" width="8.5703125" customWidth="1"/>
    <col min="16" max="16" width="20" bestFit="1" customWidth="1"/>
    <col min="17" max="17" width="26.85546875" bestFit="1" customWidth="1"/>
    <col min="20" max="20" width="20" bestFit="1" customWidth="1"/>
    <col min="21" max="21" width="9.42578125" bestFit="1" customWidth="1"/>
    <col min="22" max="22" width="20" bestFit="1" customWidth="1"/>
    <col min="23" max="23" width="4.7109375" bestFit="1" customWidth="1"/>
    <col min="24" max="28" width="9.42578125" bestFit="1" customWidth="1"/>
    <col min="36" max="36" width="26.85546875" bestFit="1" customWidth="1"/>
    <col min="37" max="37" width="9.42578125" bestFit="1" customWidth="1"/>
    <col min="39" max="39" width="20" bestFit="1" customWidth="1"/>
    <col min="40" max="40" width="9.42578125" bestFit="1" customWidth="1"/>
    <col min="41" max="41" width="20" bestFit="1" customWidth="1"/>
    <col min="42" max="42" width="4.7109375" bestFit="1" customWidth="1"/>
    <col min="43" max="47" width="9.42578125" bestFit="1" customWidth="1"/>
  </cols>
  <sheetData>
    <row r="1" spans="1:95" ht="21">
      <c r="A1" s="113" t="s">
        <v>0</v>
      </c>
      <c r="B1" s="114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</row>
    <row r="2" spans="1:95">
      <c r="A2" s="115" t="s">
        <v>1</v>
      </c>
      <c r="B2" s="11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</row>
    <row r="3" spans="1:95">
      <c r="A3" s="117"/>
      <c r="B3" s="80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</row>
    <row r="4" spans="1:95">
      <c r="A4" s="118" t="s">
        <v>2</v>
      </c>
      <c r="B4" s="119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</row>
    <row r="5" spans="1:9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</row>
    <row r="6" spans="1:95" ht="15.75">
      <c r="A6" s="26" t="s">
        <v>3</v>
      </c>
      <c r="B6" s="24" t="s">
        <v>4</v>
      </c>
      <c r="C6" s="27"/>
      <c r="D6" s="6" t="s">
        <v>5</v>
      </c>
      <c r="E6" s="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</row>
    <row r="7" spans="1:95" ht="15.75">
      <c r="A7" s="26" t="s">
        <v>6</v>
      </c>
      <c r="B7" s="24">
        <v>275000</v>
      </c>
      <c r="C7" s="27"/>
      <c r="D7" s="4" t="s">
        <v>7</v>
      </c>
      <c r="E7" s="71">
        <v>0.03</v>
      </c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</row>
    <row r="8" spans="1:95" ht="15.75">
      <c r="A8" s="26" t="s">
        <v>8</v>
      </c>
      <c r="B8" s="24">
        <v>3070</v>
      </c>
      <c r="C8" s="27"/>
      <c r="D8" s="5" t="s">
        <v>9</v>
      </c>
      <c r="E8" s="21">
        <v>0.01</v>
      </c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</row>
    <row r="9" spans="1:95" ht="15.75">
      <c r="A9" s="26" t="s">
        <v>10</v>
      </c>
      <c r="B9" s="56">
        <f>SUM(K13:K15,K18:K20) * 12</f>
        <v>3804000</v>
      </c>
      <c r="C9" s="27"/>
      <c r="D9" s="72" t="s">
        <v>11</v>
      </c>
      <c r="E9" s="2">
        <v>1.25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</row>
    <row r="10" spans="1:95" ht="32.25" customHeight="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</row>
    <row r="11" spans="1:95" ht="15" customHeight="1">
      <c r="A11" s="8" t="s">
        <v>12</v>
      </c>
      <c r="B11" s="9" t="s">
        <v>13</v>
      </c>
      <c r="C11" s="11">
        <v>2026</v>
      </c>
      <c r="D11" s="9">
        <f>C11+1</f>
        <v>2027</v>
      </c>
      <c r="E11" s="9">
        <f t="shared" ref="E11:G11" si="0">D11+1</f>
        <v>2028</v>
      </c>
      <c r="F11" s="9">
        <f t="shared" si="0"/>
        <v>2029</v>
      </c>
      <c r="G11" s="10">
        <f t="shared" si="0"/>
        <v>2030</v>
      </c>
      <c r="H11" s="27"/>
      <c r="I11" s="90" t="s">
        <v>14</v>
      </c>
      <c r="J11" s="91"/>
      <c r="K11" s="91"/>
      <c r="L11" s="91"/>
      <c r="M11" s="91"/>
      <c r="N11" s="91"/>
      <c r="O11" s="92"/>
      <c r="P11" s="29"/>
      <c r="Q11" s="36" t="s">
        <v>15</v>
      </c>
      <c r="R11" s="22">
        <v>2026</v>
      </c>
      <c r="S11" s="27"/>
      <c r="T11" s="123" t="s">
        <v>16</v>
      </c>
      <c r="U11" s="18"/>
      <c r="V11" s="124" t="s">
        <v>16</v>
      </c>
      <c r="W11" s="125" t="s">
        <v>17</v>
      </c>
      <c r="X11" s="18">
        <v>2026</v>
      </c>
      <c r="Y11" s="18">
        <f>X11+1</f>
        <v>2027</v>
      </c>
      <c r="Z11" s="18">
        <f>Y11+1</f>
        <v>2028</v>
      </c>
      <c r="AA11" s="18">
        <f>Z11+1</f>
        <v>2029</v>
      </c>
      <c r="AB11" s="102">
        <f>AA11+1</f>
        <v>2030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</row>
    <row r="12" spans="1:95">
      <c r="A12" s="28"/>
      <c r="B12" s="29"/>
      <c r="C12" s="29"/>
      <c r="D12" s="29"/>
      <c r="E12" s="29"/>
      <c r="F12" s="29"/>
      <c r="G12" s="31"/>
      <c r="H12" s="27"/>
      <c r="I12" s="3" t="s">
        <v>18</v>
      </c>
      <c r="J12" s="86" t="s">
        <v>13</v>
      </c>
      <c r="K12" s="66" cm="1">
        <f t="array" ref="K12">currentyear</f>
        <v>2026</v>
      </c>
      <c r="L12" s="66">
        <f>K12+1</f>
        <v>2027</v>
      </c>
      <c r="M12" s="66">
        <f t="shared" ref="M12:O12" si="1">L12+1</f>
        <v>2028</v>
      </c>
      <c r="N12" s="66">
        <f t="shared" si="1"/>
        <v>2029</v>
      </c>
      <c r="O12" s="66">
        <f t="shared" si="1"/>
        <v>2030</v>
      </c>
      <c r="P12" s="29"/>
      <c r="Q12" s="1" t="s">
        <v>19</v>
      </c>
      <c r="R12" s="37">
        <v>650000</v>
      </c>
      <c r="S12" s="27"/>
      <c r="T12" s="126" t="s">
        <v>17</v>
      </c>
      <c r="U12" s="127"/>
      <c r="V12" s="127"/>
      <c r="W12" s="127"/>
      <c r="X12" s="46">
        <f>U13</f>
        <v>165000</v>
      </c>
      <c r="Y12" s="46">
        <f>U14</f>
        <v>165000</v>
      </c>
      <c r="Z12" s="46">
        <f>U15</f>
        <v>175000</v>
      </c>
      <c r="AA12" s="46">
        <f>U16</f>
        <v>175000</v>
      </c>
      <c r="AB12" s="46">
        <f>U17</f>
        <v>175000</v>
      </c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</row>
    <row r="13" spans="1:95">
      <c r="A13" s="12" t="s">
        <v>18</v>
      </c>
      <c r="B13" s="19"/>
      <c r="C13" s="15"/>
      <c r="D13" s="15"/>
      <c r="E13" s="15"/>
      <c r="F13" s="15"/>
      <c r="G13" s="16"/>
      <c r="H13" s="27"/>
      <c r="I13" s="93" t="str" cm="1">
        <f t="array" ref="I13">rate_structure_1</f>
        <v>Residential water, inside</v>
      </c>
      <c r="J13" s="63" t="s">
        <v>20</v>
      </c>
      <c r="K13" s="35">
        <v>200000</v>
      </c>
      <c r="L13" s="23" cm="1">
        <f t="array" ref="L13">ROUND(K13*(1 + pop_growth_rate),0)</f>
        <v>202000</v>
      </c>
      <c r="M13" s="23" cm="1">
        <f t="array" ref="M13">ROUND(L13*(1 + pop_growth_rate),0)</f>
        <v>204020</v>
      </c>
      <c r="N13" s="23" cm="1">
        <f t="array" ref="N13">ROUND(M13*(1 + pop_growth_rate),0)</f>
        <v>206060</v>
      </c>
      <c r="O13" s="23" cm="1">
        <f t="array" ref="O13">ROUND(N13*(1 + pop_growth_rate),0)</f>
        <v>208121</v>
      </c>
      <c r="P13" s="29"/>
      <c r="Q13" s="1" t="s">
        <v>21</v>
      </c>
      <c r="R13" s="37">
        <v>110000</v>
      </c>
      <c r="S13" s="27"/>
      <c r="T13" s="1">
        <v>2026</v>
      </c>
      <c r="U13" s="128">
        <v>165000</v>
      </c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</row>
    <row r="14" spans="1:95">
      <c r="A14" s="20" t="s">
        <v>22</v>
      </c>
      <c r="B14" s="22" t="s">
        <v>23</v>
      </c>
      <c r="C14" s="39">
        <v>20</v>
      </c>
      <c r="D14" s="41">
        <v>25</v>
      </c>
      <c r="E14" s="39">
        <v>25</v>
      </c>
      <c r="F14" s="39">
        <v>25</v>
      </c>
      <c r="G14" s="39">
        <v>25</v>
      </c>
      <c r="H14" s="27"/>
      <c r="I14" s="3"/>
      <c r="J14" s="63" t="s">
        <v>24</v>
      </c>
      <c r="K14" s="35">
        <v>25000</v>
      </c>
      <c r="L14" s="23" cm="1">
        <f t="array" ref="L14">ROUND(K14*(1 + pop_growth_rate),0)</f>
        <v>25250</v>
      </c>
      <c r="M14" s="23" cm="1">
        <f t="array" ref="M14">ROUND(L14*(1 + pop_growth_rate),0)</f>
        <v>25503</v>
      </c>
      <c r="N14" s="23" cm="1">
        <f t="array" ref="N14">ROUND(M14*(1 + pop_growth_rate),0)</f>
        <v>25758</v>
      </c>
      <c r="O14" s="23" cm="1">
        <f t="array" ref="O14">ROUND(N14*(1 + pop_growth_rate),0)</f>
        <v>26016</v>
      </c>
      <c r="P14" s="29"/>
      <c r="Q14" s="1" t="s">
        <v>25</v>
      </c>
      <c r="R14" s="38">
        <v>85000</v>
      </c>
      <c r="S14" s="27"/>
      <c r="T14" s="1">
        <f>T13+1</f>
        <v>2027</v>
      </c>
      <c r="U14" s="40">
        <v>165000</v>
      </c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</row>
    <row r="15" spans="1:95" ht="30.75">
      <c r="A15" s="3" t="s">
        <v>8</v>
      </c>
      <c r="B15" s="23" t="s">
        <v>26</v>
      </c>
      <c r="C15" s="35">
        <v>2000</v>
      </c>
      <c r="D15" s="42">
        <v>2000</v>
      </c>
      <c r="E15" s="35">
        <v>2000</v>
      </c>
      <c r="F15" s="35">
        <v>2000</v>
      </c>
      <c r="G15" s="35">
        <v>2000</v>
      </c>
      <c r="H15" s="27"/>
      <c r="I15" s="78"/>
      <c r="J15" s="63" t="s">
        <v>27</v>
      </c>
      <c r="K15" s="35">
        <v>0</v>
      </c>
      <c r="L15" s="23" cm="1">
        <f t="array" ref="L15">ROUND(K15*(1 + pop_growth_rate),0)</f>
        <v>0</v>
      </c>
      <c r="M15" s="23" cm="1">
        <f t="array" ref="M15">ROUND(L15*(1 + pop_growth_rate),0)</f>
        <v>0</v>
      </c>
      <c r="N15" s="23" cm="1">
        <f t="array" ref="N15">ROUND(M15*(1 + pop_growth_rate),0)</f>
        <v>0</v>
      </c>
      <c r="O15" s="23" cm="1">
        <f t="array" ref="O15">ROUND(N15*(1 + pop_growth_rate),0)</f>
        <v>0</v>
      </c>
      <c r="P15" s="29"/>
      <c r="Q15" s="1" t="s">
        <v>28</v>
      </c>
      <c r="R15" s="37">
        <v>85000</v>
      </c>
      <c r="S15" s="27"/>
      <c r="T15" s="1">
        <f>T14+1</f>
        <v>2028</v>
      </c>
      <c r="U15" s="40">
        <v>175000</v>
      </c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</row>
    <row r="16" spans="1:95">
      <c r="A16" s="43">
        <v>2520</v>
      </c>
      <c r="B16" s="33"/>
      <c r="C16" s="33"/>
      <c r="D16" s="13"/>
      <c r="E16" s="13"/>
      <c r="F16" s="13"/>
      <c r="G16" s="17"/>
      <c r="H16" s="27"/>
      <c r="I16" s="27"/>
      <c r="J16" s="27"/>
      <c r="K16" s="27"/>
      <c r="L16" s="27"/>
      <c r="M16" s="29"/>
      <c r="N16" s="29"/>
      <c r="O16" s="29"/>
      <c r="P16" s="29"/>
      <c r="Q16" s="1" t="s">
        <v>29</v>
      </c>
      <c r="R16" s="37">
        <v>74000</v>
      </c>
      <c r="S16" s="27"/>
      <c r="T16" s="1">
        <f t="shared" ref="T16:T17" si="2">T15+1</f>
        <v>2029</v>
      </c>
      <c r="U16" s="40">
        <v>175000</v>
      </c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</row>
    <row r="17" spans="1:95">
      <c r="A17" s="32"/>
      <c r="B17" s="33"/>
      <c r="C17" s="33"/>
      <c r="D17" s="13"/>
      <c r="E17" s="13"/>
      <c r="F17" s="13"/>
      <c r="G17" s="17"/>
      <c r="H17" s="27"/>
      <c r="I17" s="1" t="s">
        <v>30</v>
      </c>
      <c r="J17" s="1" t="s">
        <v>13</v>
      </c>
      <c r="K17" s="22" cm="1">
        <f t="array" ref="K17">currentyear</f>
        <v>2026</v>
      </c>
      <c r="L17" s="66">
        <f>K17+1</f>
        <v>2027</v>
      </c>
      <c r="M17" s="66">
        <f t="shared" ref="M17:O17" si="3">L17+1</f>
        <v>2028</v>
      </c>
      <c r="N17" s="66">
        <f t="shared" si="3"/>
        <v>2029</v>
      </c>
      <c r="O17" s="66">
        <f t="shared" si="3"/>
        <v>2030</v>
      </c>
      <c r="P17" s="29"/>
      <c r="Q17" s="1" t="s">
        <v>31</v>
      </c>
      <c r="R17" s="37">
        <v>200000</v>
      </c>
      <c r="S17" s="27"/>
      <c r="T17" s="1">
        <f t="shared" si="2"/>
        <v>2030</v>
      </c>
      <c r="U17" s="40">
        <v>175000</v>
      </c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</row>
    <row r="18" spans="1:95">
      <c r="A18" s="32" t="s">
        <v>32</v>
      </c>
      <c r="B18" s="34"/>
      <c r="C18" s="34"/>
      <c r="D18" s="13"/>
      <c r="E18" s="13"/>
      <c r="F18" s="13"/>
      <c r="G18" s="17"/>
      <c r="H18" s="27"/>
      <c r="I18" s="1" t="str" cm="1">
        <f t="array" ref="I18">rate_structure_2</f>
        <v>Residential water, outside</v>
      </c>
      <c r="J18" s="22" t="s">
        <v>20</v>
      </c>
      <c r="K18" s="88">
        <v>72000</v>
      </c>
      <c r="L18" s="22" cm="1">
        <f t="array" ref="L18">ROUND(K18*(1 + pop_growth_rate),0)</f>
        <v>72720</v>
      </c>
      <c r="M18" s="22" cm="1">
        <f t="array" ref="M18">ROUND(L18*(1 + pop_growth_rate),0)</f>
        <v>73447</v>
      </c>
      <c r="N18" s="22" cm="1">
        <f t="array" ref="N18">ROUND(M18*(1 + pop_growth_rate),0)</f>
        <v>74181</v>
      </c>
      <c r="O18" s="22" cm="1">
        <f t="array" ref="O18">ROUND(N18*(1 + pop_growth_rate),0)</f>
        <v>74923</v>
      </c>
      <c r="P18" s="29"/>
      <c r="Q18" s="1" t="s">
        <v>33</v>
      </c>
      <c r="R18" s="37">
        <v>96000</v>
      </c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</row>
    <row r="19" spans="1:95">
      <c r="A19" s="14">
        <v>3000</v>
      </c>
      <c r="B19" s="22" t="s">
        <v>34</v>
      </c>
      <c r="C19" s="39">
        <v>1.75</v>
      </c>
      <c r="D19" s="41">
        <v>1.5</v>
      </c>
      <c r="E19" s="39">
        <v>1.75</v>
      </c>
      <c r="F19" s="39">
        <v>1.75</v>
      </c>
      <c r="G19" s="39">
        <v>2</v>
      </c>
      <c r="H19" s="27"/>
      <c r="I19" s="1"/>
      <c r="J19" s="22" t="s">
        <v>24</v>
      </c>
      <c r="K19" s="88">
        <v>20000</v>
      </c>
      <c r="L19" s="22" cm="1">
        <f t="array" ref="L19">ROUND(K19*(1 + pop_growth_rate),0)</f>
        <v>20200</v>
      </c>
      <c r="M19" s="22" cm="1">
        <f t="array" ref="M19">ROUND(L19*(1 + pop_growth_rate),0)</f>
        <v>20402</v>
      </c>
      <c r="N19" s="22" cm="1">
        <f t="array" ref="N19">ROUND(M19*(1 + pop_growth_rate),0)</f>
        <v>20606</v>
      </c>
      <c r="O19" s="22" cm="1">
        <f t="array" ref="O19">ROUND(N19*(1 + pop_growth_rate),0)</f>
        <v>20812</v>
      </c>
      <c r="P19" s="29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</row>
    <row r="20" spans="1:95">
      <c r="A20" s="25">
        <v>4000</v>
      </c>
      <c r="B20" s="22" t="s">
        <v>35</v>
      </c>
      <c r="C20" s="39">
        <v>1.75</v>
      </c>
      <c r="D20" s="41">
        <v>2.25</v>
      </c>
      <c r="E20" s="39">
        <v>2.5</v>
      </c>
      <c r="F20" s="39">
        <v>2.5</v>
      </c>
      <c r="G20" s="39">
        <v>2.5</v>
      </c>
      <c r="H20" s="27"/>
      <c r="I20" s="1"/>
      <c r="J20" s="22" t="s">
        <v>27</v>
      </c>
      <c r="K20" s="88">
        <v>0</v>
      </c>
      <c r="L20" s="22" cm="1">
        <f t="array" ref="L20">ROUND(K20*(1 + pop_growth_rate),0)</f>
        <v>0</v>
      </c>
      <c r="M20" s="22" cm="1">
        <f t="array" ref="M20">ROUND(L20*(1 + pop_growth_rate),0)</f>
        <v>0</v>
      </c>
      <c r="N20" s="22" cm="1">
        <f t="array" ref="N20">ROUND(M20*(1 + pop_growth_rate),0)</f>
        <v>0</v>
      </c>
      <c r="O20" s="22" cm="1">
        <f t="array" ref="O20">ROUND(N20*(1 + pop_growth_rate),0)</f>
        <v>0</v>
      </c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</row>
    <row r="21" spans="1:95">
      <c r="A21" s="25">
        <v>5000</v>
      </c>
      <c r="B21" s="22" t="s">
        <v>36</v>
      </c>
      <c r="C21" s="39">
        <v>1.75</v>
      </c>
      <c r="D21" s="41">
        <v>3.5</v>
      </c>
      <c r="E21" s="39">
        <v>3.75</v>
      </c>
      <c r="F21" s="39">
        <v>3.75</v>
      </c>
      <c r="G21" s="39">
        <v>3.75</v>
      </c>
      <c r="H21" s="27"/>
      <c r="I21" s="27"/>
      <c r="J21" s="84"/>
      <c r="K21" s="84"/>
      <c r="L21" s="84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</row>
    <row r="22" spans="1:95" ht="29.25" customHeight="1">
      <c r="A22" s="27"/>
      <c r="B22" s="27"/>
      <c r="C22" s="27"/>
      <c r="D22" s="27"/>
      <c r="E22" s="27"/>
      <c r="F22" s="27"/>
      <c r="G22" s="27"/>
      <c r="H22" s="27"/>
      <c r="I22" s="27"/>
      <c r="J22" s="89" t="s">
        <v>37</v>
      </c>
      <c r="K22" s="89"/>
      <c r="L22" s="89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</row>
    <row r="23" spans="1:95">
      <c r="A23" s="12" t="s">
        <v>30</v>
      </c>
      <c r="B23" s="18"/>
      <c r="C23" s="15"/>
      <c r="D23" s="15"/>
      <c r="E23" s="15"/>
      <c r="F23" s="15"/>
      <c r="G23" s="16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</row>
    <row r="24" spans="1:95">
      <c r="A24" s="20" t="s">
        <v>38</v>
      </c>
      <c r="B24" s="22" t="s">
        <v>23</v>
      </c>
      <c r="C24" s="39">
        <v>25</v>
      </c>
      <c r="D24" s="41">
        <v>29</v>
      </c>
      <c r="E24" s="39">
        <v>29</v>
      </c>
      <c r="F24" s="39">
        <v>29</v>
      </c>
      <c r="G24" s="39">
        <v>30</v>
      </c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</row>
    <row r="25" spans="1:95" ht="30.75">
      <c r="A25" s="3" t="s">
        <v>8</v>
      </c>
      <c r="B25" s="23" t="s">
        <v>26</v>
      </c>
      <c r="C25" s="2">
        <v>0</v>
      </c>
      <c r="D25" s="24">
        <v>0</v>
      </c>
      <c r="E25" s="2">
        <v>0</v>
      </c>
      <c r="F25" s="2">
        <v>0</v>
      </c>
      <c r="G25" s="2">
        <v>0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</row>
    <row r="26" spans="1:95">
      <c r="A26" s="43">
        <f>B8-A16</f>
        <v>550</v>
      </c>
      <c r="B26" s="33"/>
      <c r="C26" s="33"/>
      <c r="D26" s="13"/>
      <c r="E26" s="13"/>
      <c r="F26" s="13"/>
      <c r="G26" s="1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</row>
    <row r="27" spans="1:95">
      <c r="A27" s="32"/>
      <c r="B27" s="33"/>
      <c r="C27" s="33"/>
      <c r="D27" s="13"/>
      <c r="E27" s="13"/>
      <c r="F27" s="13"/>
      <c r="G27" s="1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</row>
    <row r="28" spans="1:95">
      <c r="A28" s="32" t="s">
        <v>32</v>
      </c>
      <c r="B28" s="34"/>
      <c r="C28" s="34"/>
      <c r="D28" s="13"/>
      <c r="E28" s="13"/>
      <c r="F28" s="13"/>
      <c r="G28" s="1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</row>
    <row r="29" spans="1:95">
      <c r="A29" s="14">
        <v>5000</v>
      </c>
      <c r="B29" s="22" t="s">
        <v>34</v>
      </c>
      <c r="C29" s="41">
        <v>3</v>
      </c>
      <c r="D29" s="39">
        <v>2.5</v>
      </c>
      <c r="E29" s="39">
        <v>3</v>
      </c>
      <c r="F29" s="39">
        <v>3</v>
      </c>
      <c r="G29" s="39">
        <v>3</v>
      </c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</row>
    <row r="30" spans="1:95">
      <c r="A30" s="25">
        <v>10000</v>
      </c>
      <c r="B30" s="22" t="s">
        <v>35</v>
      </c>
      <c r="C30" s="41">
        <v>3</v>
      </c>
      <c r="D30" s="39">
        <v>3.25</v>
      </c>
      <c r="E30" s="39">
        <v>3.25</v>
      </c>
      <c r="F30" s="39">
        <v>3.25</v>
      </c>
      <c r="G30" s="39">
        <v>3.25</v>
      </c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</row>
    <row r="31" spans="1:95">
      <c r="A31" s="25"/>
      <c r="B31" s="22" t="s">
        <v>36</v>
      </c>
      <c r="C31" s="41"/>
      <c r="D31" s="39"/>
      <c r="E31" s="39"/>
      <c r="F31" s="39"/>
      <c r="G31" s="39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</row>
    <row r="32" spans="1:9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>
      <c r="A33" s="30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</sheetData>
  <mergeCells count="6">
    <mergeCell ref="J21:L21"/>
    <mergeCell ref="J22:L22"/>
    <mergeCell ref="I11:O11"/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75A-D480-4707-899D-4BDE57EE180A}">
  <dimension ref="A1:U28"/>
  <sheetViews>
    <sheetView tabSelected="1" workbookViewId="0">
      <selection activeCell="I12" sqref="I12"/>
    </sheetView>
  </sheetViews>
  <sheetFormatPr defaultRowHeight="15"/>
  <cols>
    <col min="1" max="1" width="36.5703125" bestFit="1" customWidth="1"/>
  </cols>
  <sheetData>
    <row r="1" spans="1:21" ht="30.75" customHeight="1">
      <c r="A1" s="85" t="s">
        <v>39</v>
      </c>
      <c r="B1" s="85"/>
      <c r="C1" s="85"/>
      <c r="D1" s="85"/>
      <c r="E1" s="85"/>
      <c r="F1" s="85"/>
      <c r="G1" s="85"/>
      <c r="H1" s="85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2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1:21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1:21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1:21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</row>
    <row r="8" spans="1:21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</row>
    <row r="9" spans="1:21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1:2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</row>
    <row r="11" spans="1:2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</row>
    <row r="12" spans="1:21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1:21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1:21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</row>
    <row r="15" spans="1:21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1:2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</row>
    <row r="17" spans="1:2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</row>
    <row r="18" spans="1:2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1:2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</row>
    <row r="20" spans="1:2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</row>
    <row r="21" spans="1: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1:2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1:2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1:2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1:2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1:2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</row>
  </sheetData>
  <sheetProtection sheet="1" objects="1" scenarios="1"/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BG38"/>
  <sheetViews>
    <sheetView workbookViewId="0">
      <selection activeCell="M25" sqref="M25"/>
    </sheetView>
  </sheetViews>
  <sheetFormatPr defaultRowHeight="15"/>
  <cols>
    <col min="1" max="1" width="30" bestFit="1" customWidth="1"/>
    <col min="2" max="6" width="14.7109375" bestFit="1" customWidth="1"/>
    <col min="12" max="12" width="24.5703125" bestFit="1" customWidth="1"/>
    <col min="13" max="17" width="14.7109375" bestFit="1" customWidth="1"/>
    <col min="25" max="29" width="13.85546875" bestFit="1" customWidth="1"/>
  </cols>
  <sheetData>
    <row r="1" spans="1:59" ht="18.75">
      <c r="A1" s="45" t="s">
        <v>40</v>
      </c>
      <c r="B1" s="45"/>
      <c r="C1" s="45"/>
      <c r="D1" s="45"/>
      <c r="E1" s="45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</row>
    <row r="2" spans="1:59" ht="18.75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94" t="s">
        <v>41</v>
      </c>
      <c r="M2" s="95"/>
      <c r="N2" s="95"/>
      <c r="O2" s="95"/>
      <c r="P2" s="95"/>
      <c r="Q2" s="96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</row>
    <row r="3" spans="1:59" ht="18.75">
      <c r="A3" s="94" t="s">
        <v>42</v>
      </c>
      <c r="B3" s="95"/>
      <c r="C3" s="95"/>
      <c r="D3" s="95"/>
      <c r="E3" s="95"/>
      <c r="F3" s="96"/>
      <c r="G3" s="27"/>
      <c r="H3" s="27"/>
      <c r="I3" s="27"/>
      <c r="J3" s="27"/>
      <c r="K3" s="27"/>
      <c r="L3" s="120"/>
      <c r="M3" s="121"/>
      <c r="N3" s="121"/>
      <c r="O3" s="121"/>
      <c r="P3" s="121"/>
      <c r="Q3" s="122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</row>
    <row r="4" spans="1:59">
      <c r="A4" s="97" t="s">
        <v>18</v>
      </c>
      <c r="B4" s="86"/>
      <c r="C4" s="86"/>
      <c r="D4" s="86"/>
      <c r="E4" s="86"/>
      <c r="F4" s="98"/>
      <c r="G4" s="27"/>
      <c r="H4" s="27"/>
      <c r="I4" s="27"/>
      <c r="J4" s="27"/>
      <c r="K4" s="27"/>
      <c r="L4" s="97" t="s">
        <v>18</v>
      </c>
      <c r="M4" s="86"/>
      <c r="N4" s="86"/>
      <c r="O4" s="86"/>
      <c r="P4" s="86"/>
      <c r="Q4" s="98"/>
      <c r="R4" s="27"/>
      <c r="S4" s="27"/>
      <c r="T4" s="27"/>
      <c r="U4" s="27"/>
      <c r="V4" s="27"/>
      <c r="W4" s="27"/>
      <c r="X4" s="27"/>
      <c r="Y4" s="87"/>
      <c r="Z4" s="87">
        <f t="shared" ref="Z4:AC4" si="0">$B$22</f>
        <v>1439550</v>
      </c>
      <c r="AA4" s="87">
        <f t="shared" si="0"/>
        <v>1439550</v>
      </c>
      <c r="AB4" s="87">
        <f t="shared" si="0"/>
        <v>1439550</v>
      </c>
      <c r="AC4" s="87">
        <f t="shared" si="0"/>
        <v>1439550</v>
      </c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</row>
    <row r="5" spans="1:59">
      <c r="A5" s="63" t="s">
        <v>17</v>
      </c>
      <c r="B5" s="22" cm="1">
        <f t="array" ref="B5">currentyear</f>
        <v>2026</v>
      </c>
      <c r="C5" s="22">
        <f>B5+1</f>
        <v>2027</v>
      </c>
      <c r="D5" s="22">
        <f t="shared" ref="D5:F5" si="1">C5+1</f>
        <v>2028</v>
      </c>
      <c r="E5" s="22">
        <f t="shared" si="1"/>
        <v>2029</v>
      </c>
      <c r="F5" s="22">
        <f t="shared" si="1"/>
        <v>2030</v>
      </c>
      <c r="G5" s="27"/>
      <c r="H5" s="27"/>
      <c r="I5" s="27"/>
      <c r="J5" s="27"/>
      <c r="K5" s="27"/>
      <c r="L5" s="63" t="s">
        <v>17</v>
      </c>
      <c r="M5" s="22" cm="1">
        <f t="array" ref="M5">currentyear</f>
        <v>2026</v>
      </c>
      <c r="N5" s="22">
        <f>M5+1</f>
        <v>2027</v>
      </c>
      <c r="O5" s="22">
        <f t="shared" ref="O5:Q5" si="2">N5+1</f>
        <v>2028</v>
      </c>
      <c r="P5" s="22">
        <f t="shared" si="2"/>
        <v>2029</v>
      </c>
      <c r="Q5" s="22">
        <f t="shared" si="2"/>
        <v>2030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</row>
    <row r="6" spans="1:59">
      <c r="A6" s="22" t="s">
        <v>43</v>
      </c>
      <c r="B6" s="60" cm="1">
        <f t="array" ref="B6">num_accountsRS1</f>
        <v>2520</v>
      </c>
      <c r="C6" s="61" cm="1">
        <f t="array" ref="C6">ROUND(B6*(1+pop_growth_rate),0)</f>
        <v>2545</v>
      </c>
      <c r="D6" s="61" cm="1">
        <f t="array" ref="D6">ROUND(C6*(1+pop_growth_rate),0)</f>
        <v>2570</v>
      </c>
      <c r="E6" s="61" cm="1">
        <f t="array" ref="E6">ROUND(D6*(1+pop_growth_rate),0)</f>
        <v>2596</v>
      </c>
      <c r="F6" s="61" cm="1">
        <f t="array" ref="F6">ROUND(E6*(1+pop_growth_rate),0)</f>
        <v>2622</v>
      </c>
      <c r="G6" s="27"/>
      <c r="H6" s="27"/>
      <c r="I6" s="27"/>
      <c r="J6" s="27"/>
      <c r="K6" s="27"/>
      <c r="L6" s="22" t="s">
        <v>43</v>
      </c>
      <c r="M6" s="60" cm="1">
        <f t="array" ref="M6">num_accountsRS1</f>
        <v>2520</v>
      </c>
      <c r="N6" s="61" cm="1">
        <f t="array" ref="N6">ROUND(M6 * (1+pop_growth_rate),0)</f>
        <v>2545</v>
      </c>
      <c r="O6" s="61" cm="1">
        <f t="array" ref="O6">ROUND(N6 * (1+pop_growth_rate),0)</f>
        <v>2570</v>
      </c>
      <c r="P6" s="61" cm="1">
        <f t="array" ref="P6">ROUND(O6 * (1+pop_growth_rate),0)</f>
        <v>2596</v>
      </c>
      <c r="Q6" s="61" cm="1">
        <f t="array" ref="Q6">ROUND(P6 * (1+pop_growth_rate),0)</f>
        <v>2622</v>
      </c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</row>
    <row r="7" spans="1:59">
      <c r="A7" s="22" t="s">
        <v>44</v>
      </c>
      <c r="B7" s="57" cm="1">
        <f t="array" ref="B7:F7">base_chargeRS1 * 12 * RS1_num_accounts</f>
        <v>604800</v>
      </c>
      <c r="C7" s="54">
        <v>763500</v>
      </c>
      <c r="D7" s="54">
        <v>771000</v>
      </c>
      <c r="E7" s="54">
        <v>778800</v>
      </c>
      <c r="F7" s="54">
        <v>786600</v>
      </c>
      <c r="G7" s="27"/>
      <c r="H7" s="27"/>
      <c r="I7" s="27"/>
      <c r="J7" s="27"/>
      <c r="K7" s="27"/>
      <c r="L7" s="59" t="s">
        <v>44</v>
      </c>
      <c r="M7" s="103" cm="1">
        <f t="array" ref="M7:Q7">RS1_base_charge2026 * 12 * RS1_num_accounts</f>
        <v>604800</v>
      </c>
      <c r="N7" s="104">
        <v>610800</v>
      </c>
      <c r="O7" s="104">
        <v>616800</v>
      </c>
      <c r="P7" s="104">
        <v>623040</v>
      </c>
      <c r="Q7" s="104">
        <v>629280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</row>
    <row r="8" spans="1:59">
      <c r="A8" s="22" t="s">
        <v>45</v>
      </c>
      <c r="B8" s="62" cm="1">
        <f t="array" ref="B8:B10">RS1_block_consumption2026 * RS1_vrates2026</f>
        <v>350000</v>
      </c>
      <c r="C8" s="46" cm="1">
        <f t="array" ref="C8:C10">RS1_block_consumption2027 * RS1_vrates2027</f>
        <v>303000</v>
      </c>
      <c r="D8" s="46" cm="1">
        <f t="array" ref="D8:D10">RS1_block_consumption2028 * RS1_vrates2028</f>
        <v>357035</v>
      </c>
      <c r="E8" s="46" cm="1">
        <f t="array" ref="E8:E10">RS1_block_consumption2029 * RS1_vrates2029</f>
        <v>360605</v>
      </c>
      <c r="F8" s="46" cm="1">
        <f t="array" ref="F8:F10">RS1_block_consumption2030 * RS1_vrates2030</f>
        <v>416242</v>
      </c>
      <c r="G8" s="27"/>
      <c r="H8" s="27"/>
      <c r="I8" s="27"/>
      <c r="J8" s="27"/>
      <c r="K8" s="27"/>
      <c r="L8" s="22" t="s">
        <v>45</v>
      </c>
      <c r="M8" s="62" cm="1">
        <f t="array" ref="M8:M10">RS1_block_consumption2026 * RS1_vrates2026</f>
        <v>350000</v>
      </c>
      <c r="N8" s="62" cm="1">
        <f t="array" ref="N8:N10">RS1_block_consumption2027 * RS1_vrates2026</f>
        <v>353500</v>
      </c>
      <c r="O8" s="62" cm="1">
        <f t="array" ref="O8:O10">RS1_block_consumption2028 * RS1_vrates2026</f>
        <v>357035</v>
      </c>
      <c r="P8" s="62" cm="1">
        <f t="array" ref="P8:P10">RS1_block_consumption2029 * RS1_vrates2026</f>
        <v>360605</v>
      </c>
      <c r="Q8" s="62" cm="1">
        <f t="array" ref="Q8:Q10">RS1_block_consumption2030 * RS1_vrates2026</f>
        <v>364211.75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</row>
    <row r="9" spans="1:59">
      <c r="A9" s="22" t="s">
        <v>46</v>
      </c>
      <c r="B9" s="62">
        <v>43750</v>
      </c>
      <c r="C9" s="46">
        <v>56812.5</v>
      </c>
      <c r="D9" s="46">
        <v>63757.5</v>
      </c>
      <c r="E9" s="46">
        <v>64395</v>
      </c>
      <c r="F9" s="46">
        <v>65040</v>
      </c>
      <c r="G9" s="27"/>
      <c r="H9" s="27"/>
      <c r="I9" s="27"/>
      <c r="J9" s="27"/>
      <c r="K9" s="27"/>
      <c r="L9" s="22" t="s">
        <v>46</v>
      </c>
      <c r="M9" s="62">
        <v>43750</v>
      </c>
      <c r="N9" s="62">
        <v>44187.5</v>
      </c>
      <c r="O9" s="62">
        <v>44630.25</v>
      </c>
      <c r="P9" s="62">
        <v>45076.5</v>
      </c>
      <c r="Q9" s="62">
        <v>45528</v>
      </c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</row>
    <row r="10" spans="1:59">
      <c r="A10" s="22" t="s">
        <v>47</v>
      </c>
      <c r="B10" s="62">
        <v>0</v>
      </c>
      <c r="C10" s="46">
        <v>0</v>
      </c>
      <c r="D10" s="46">
        <v>0</v>
      </c>
      <c r="E10" s="46">
        <v>0</v>
      </c>
      <c r="F10" s="46">
        <v>0</v>
      </c>
      <c r="G10" s="27"/>
      <c r="H10" s="27"/>
      <c r="I10" s="27"/>
      <c r="J10" s="27"/>
      <c r="K10" s="27"/>
      <c r="L10" s="66" t="s">
        <v>47</v>
      </c>
      <c r="M10" s="69">
        <v>0</v>
      </c>
      <c r="N10" s="69">
        <v>0</v>
      </c>
      <c r="O10" s="69">
        <v>0</v>
      </c>
      <c r="P10" s="69">
        <v>0</v>
      </c>
      <c r="Q10" s="69">
        <v>0</v>
      </c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</row>
    <row r="11" spans="1:59">
      <c r="A11" s="99" t="s">
        <v>48</v>
      </c>
      <c r="B11" s="100">
        <f>SUM(B7:B10)</f>
        <v>998550</v>
      </c>
      <c r="C11" s="100">
        <f t="shared" ref="C11:F11" si="3">SUM(C7:C10)</f>
        <v>1123312.5</v>
      </c>
      <c r="D11" s="100">
        <f t="shared" si="3"/>
        <v>1191792.5</v>
      </c>
      <c r="E11" s="100">
        <f t="shared" si="3"/>
        <v>1203800</v>
      </c>
      <c r="F11" s="100">
        <f t="shared" si="3"/>
        <v>1267882</v>
      </c>
      <c r="G11" s="27"/>
      <c r="H11" s="27"/>
      <c r="I11" s="27"/>
      <c r="J11" s="27"/>
      <c r="K11" s="27"/>
      <c r="L11" s="47" t="s">
        <v>48</v>
      </c>
      <c r="M11" s="65">
        <f>SUM(M7:M10)</f>
        <v>998550</v>
      </c>
      <c r="N11" s="65">
        <f t="shared" ref="N11" si="4">SUM(N7:N10)</f>
        <v>1008487.5</v>
      </c>
      <c r="O11" s="65">
        <f t="shared" ref="O11" si="5">SUM(O7:O10)</f>
        <v>1018465.25</v>
      </c>
      <c r="P11" s="65">
        <f t="shared" ref="P11" si="6">SUM(P7:P10)</f>
        <v>1028721.5</v>
      </c>
      <c r="Q11" s="65">
        <f t="shared" ref="Q11" si="7">SUM(Q7:Q10)</f>
        <v>1039019.75</v>
      </c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</row>
    <row r="12" spans="1:59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</row>
    <row r="13" spans="1:59">
      <c r="A13" s="101" t="s">
        <v>30</v>
      </c>
      <c r="B13" s="18"/>
      <c r="C13" s="18"/>
      <c r="D13" s="18"/>
      <c r="E13" s="18"/>
      <c r="F13" s="102"/>
      <c r="G13" s="27"/>
      <c r="H13" s="27"/>
      <c r="I13" s="27"/>
      <c r="J13" s="27"/>
      <c r="K13" s="27"/>
      <c r="L13" s="44" t="s">
        <v>30</v>
      </c>
      <c r="M13" s="1"/>
      <c r="N13" s="1"/>
      <c r="O13" s="1"/>
      <c r="P13" s="1"/>
      <c r="Q13" s="1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</row>
    <row r="14" spans="1:59">
      <c r="A14" s="22" t="s">
        <v>17</v>
      </c>
      <c r="B14" s="22" cm="1">
        <f t="array" ref="B14">currentyear</f>
        <v>2026</v>
      </c>
      <c r="C14" s="22">
        <f>B14+1</f>
        <v>2027</v>
      </c>
      <c r="D14" s="22">
        <f t="shared" ref="D14:F14" si="8">C14+1</f>
        <v>2028</v>
      </c>
      <c r="E14" s="22">
        <f t="shared" si="8"/>
        <v>2029</v>
      </c>
      <c r="F14" s="22">
        <f t="shared" si="8"/>
        <v>2030</v>
      </c>
      <c r="G14" s="27"/>
      <c r="H14" s="27"/>
      <c r="I14" s="27"/>
      <c r="J14" s="27"/>
      <c r="K14" s="27"/>
      <c r="L14" s="22" t="s">
        <v>17</v>
      </c>
      <c r="M14" s="22" cm="1">
        <f t="array" ref="M14">currentyear</f>
        <v>2026</v>
      </c>
      <c r="N14" s="22">
        <f>M14+1</f>
        <v>2027</v>
      </c>
      <c r="O14" s="22">
        <f t="shared" ref="O14:Q14" si="9">N14+1</f>
        <v>2028</v>
      </c>
      <c r="P14" s="22">
        <f t="shared" si="9"/>
        <v>2029</v>
      </c>
      <c r="Q14" s="22">
        <f t="shared" si="9"/>
        <v>2030</v>
      </c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</row>
    <row r="15" spans="1:59">
      <c r="A15" s="59" t="s">
        <v>43</v>
      </c>
      <c r="B15" s="60" cm="1">
        <f t="array" ref="B15">num_accountsRS2</f>
        <v>550</v>
      </c>
      <c r="C15" s="61" cm="1">
        <f t="array" ref="C15">ROUND(B15*(1+pop_growth_rate),0)</f>
        <v>556</v>
      </c>
      <c r="D15" s="61" cm="1">
        <f t="array" ref="D15">ROUND(C15*(1+pop_growth_rate),0)</f>
        <v>562</v>
      </c>
      <c r="E15" s="61" cm="1">
        <f t="array" ref="E15">ROUND(D15*(1+pop_growth_rate),0)</f>
        <v>568</v>
      </c>
      <c r="F15" s="61" cm="1">
        <f t="array" ref="F15">ROUND(E15*(1+pop_growth_rate),0)</f>
        <v>574</v>
      </c>
      <c r="G15" s="27"/>
      <c r="H15" s="27"/>
      <c r="I15" s="27"/>
      <c r="J15" s="27"/>
      <c r="K15" s="27"/>
      <c r="L15" s="59" t="s">
        <v>43</v>
      </c>
      <c r="M15" s="60" cm="1">
        <f t="array" ref="M15">num_accountsRS2</f>
        <v>550</v>
      </c>
      <c r="N15" s="61" cm="1">
        <f t="array" ref="N15">ROUND(M15*(1+pop_growth_rate),0)</f>
        <v>556</v>
      </c>
      <c r="O15" s="61" cm="1">
        <f t="array" ref="O15">ROUND(N15*(1+pop_growth_rate),0)</f>
        <v>562</v>
      </c>
      <c r="P15" s="61" cm="1">
        <f t="array" ref="P15">ROUND(O15*(1+pop_growth_rate),0)</f>
        <v>568</v>
      </c>
      <c r="Q15" s="61" cm="1">
        <f t="array" ref="Q15">ROUND(P15*(1+pop_growth_rate),0)</f>
        <v>574</v>
      </c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</row>
    <row r="16" spans="1:59">
      <c r="A16" s="59" t="s">
        <v>44</v>
      </c>
      <c r="B16" s="103" cm="1">
        <f t="array" ref="B16:F16">base_chargeRS2 * 12 * RS2_num_accounts</f>
        <v>165000</v>
      </c>
      <c r="C16" s="104">
        <v>193488</v>
      </c>
      <c r="D16" s="104">
        <v>195576</v>
      </c>
      <c r="E16" s="104">
        <v>197664</v>
      </c>
      <c r="F16" s="104">
        <v>206640</v>
      </c>
      <c r="G16" s="27"/>
      <c r="H16" s="27"/>
      <c r="I16" s="27"/>
      <c r="J16" s="27"/>
      <c r="K16" s="27"/>
      <c r="L16" s="22" t="s">
        <v>44</v>
      </c>
      <c r="M16" s="57" cm="1">
        <f t="array" ref="M16:Q16">RS2_base_charge2026 * 12 * RS2_num_accounts</f>
        <v>165000</v>
      </c>
      <c r="N16" s="54">
        <v>166800</v>
      </c>
      <c r="O16" s="54">
        <v>168600</v>
      </c>
      <c r="P16" s="54">
        <v>170400</v>
      </c>
      <c r="Q16" s="54">
        <v>172200</v>
      </c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</row>
    <row r="17" spans="1:59">
      <c r="A17" s="22" t="s">
        <v>45</v>
      </c>
      <c r="B17" s="58" cm="1">
        <f t="array" ref="B17:B19">RS2_block_consumption2026 * RS2_vrates2026</f>
        <v>216000</v>
      </c>
      <c r="C17" s="55" cm="1">
        <f t="array" ref="C17:C19">RS2_block_consumption2027 * RS2_vrates2027</f>
        <v>181800</v>
      </c>
      <c r="D17" s="55" cm="1">
        <f t="array" ref="D17:D19">RS2_block_consumption2028 * RS2_vrates2028</f>
        <v>220341</v>
      </c>
      <c r="E17" s="55" cm="1">
        <f t="array" ref="E17:E19">RS2_block_consumption2029 * RS2_vrates2029</f>
        <v>222543</v>
      </c>
      <c r="F17" s="55" cm="1">
        <f t="array" ref="F17:F19">RS2_block_consumption2030 * RS2_vrates2030</f>
        <v>224769</v>
      </c>
      <c r="G17" s="27"/>
      <c r="H17" s="27"/>
      <c r="I17" s="27"/>
      <c r="J17" s="27"/>
      <c r="K17" s="27"/>
      <c r="L17" s="22" t="s">
        <v>45</v>
      </c>
      <c r="M17" s="58" cm="1">
        <f t="array" ref="M17:M19">RS2_block_consumption2026 * RS2_vrates2026</f>
        <v>216000</v>
      </c>
      <c r="N17" s="58" cm="1">
        <f t="array" ref="N17:N19">RS2_block_consumption2027 * RS2_vrates2026</f>
        <v>218160</v>
      </c>
      <c r="O17" s="58" cm="1">
        <f t="array" ref="O17:O19">RS2_block_consumption2028 * RS2_vrates2026</f>
        <v>220341</v>
      </c>
      <c r="P17" s="58" cm="1">
        <f t="array" ref="P17:P19">RS2_block_consumption2029 * RS2_vrates2026</f>
        <v>222543</v>
      </c>
      <c r="Q17" s="58" cm="1">
        <f t="array" ref="Q17:Q19">RS2_block_consumption2030 * RS2_vrates2026</f>
        <v>224769</v>
      </c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</row>
    <row r="18" spans="1:59">
      <c r="A18" s="22" t="s">
        <v>46</v>
      </c>
      <c r="B18" s="58">
        <v>60000</v>
      </c>
      <c r="C18" s="55">
        <v>65650</v>
      </c>
      <c r="D18" s="55">
        <v>66306.5</v>
      </c>
      <c r="E18" s="55">
        <v>66969.5</v>
      </c>
      <c r="F18" s="55">
        <v>67639</v>
      </c>
      <c r="G18" s="27"/>
      <c r="H18" s="27"/>
      <c r="I18" s="27"/>
      <c r="J18" s="27"/>
      <c r="K18" s="27"/>
      <c r="L18" s="22" t="s">
        <v>46</v>
      </c>
      <c r="M18" s="58">
        <v>60000</v>
      </c>
      <c r="N18" s="58">
        <v>60600</v>
      </c>
      <c r="O18" s="58">
        <v>61206</v>
      </c>
      <c r="P18" s="58">
        <v>61818</v>
      </c>
      <c r="Q18" s="58">
        <v>62436</v>
      </c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</row>
    <row r="19" spans="1:59">
      <c r="A19" s="66" t="s">
        <v>47</v>
      </c>
      <c r="B19" s="67">
        <v>0</v>
      </c>
      <c r="C19" s="68">
        <v>0</v>
      </c>
      <c r="D19" s="68">
        <v>0</v>
      </c>
      <c r="E19" s="68">
        <v>0</v>
      </c>
      <c r="F19" s="68">
        <v>0</v>
      </c>
      <c r="G19" s="27"/>
      <c r="H19" s="27"/>
      <c r="I19" s="27"/>
      <c r="J19" s="27"/>
      <c r="K19" s="27"/>
      <c r="L19" s="66" t="s">
        <v>47</v>
      </c>
      <c r="M19" s="67">
        <v>0</v>
      </c>
      <c r="N19" s="67">
        <v>0</v>
      </c>
      <c r="O19" s="67">
        <v>0</v>
      </c>
      <c r="P19" s="67">
        <v>0</v>
      </c>
      <c r="Q19" s="67">
        <v>0</v>
      </c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</row>
    <row r="20" spans="1:59">
      <c r="A20" s="47" t="s">
        <v>49</v>
      </c>
      <c r="B20" s="65">
        <f>SUM(B16:B19)</f>
        <v>441000</v>
      </c>
      <c r="C20" s="65">
        <f t="shared" ref="C20:F20" si="10">SUM(C16:C19)</f>
        <v>440938</v>
      </c>
      <c r="D20" s="65">
        <f t="shared" si="10"/>
        <v>482223.5</v>
      </c>
      <c r="E20" s="65">
        <f t="shared" si="10"/>
        <v>487176.5</v>
      </c>
      <c r="F20" s="65">
        <f t="shared" si="10"/>
        <v>499048</v>
      </c>
      <c r="G20" s="27"/>
      <c r="H20" s="27"/>
      <c r="I20" s="27"/>
      <c r="J20" s="27"/>
      <c r="K20" s="27"/>
      <c r="L20" s="47" t="s">
        <v>49</v>
      </c>
      <c r="M20" s="65">
        <f>SUM(M16:M19)</f>
        <v>441000</v>
      </c>
      <c r="N20" s="65">
        <f t="shared" ref="N20" si="11">SUM(N16:N19)</f>
        <v>445560</v>
      </c>
      <c r="O20" s="65">
        <f t="shared" ref="O20" si="12">SUM(O16:O19)</f>
        <v>450147</v>
      </c>
      <c r="P20" s="65">
        <f t="shared" ref="P20" si="13">SUM(P16:P19)</f>
        <v>454761</v>
      </c>
      <c r="Q20" s="65">
        <f t="shared" ref="Q20" si="14">SUM(Q16:Q19)</f>
        <v>459405</v>
      </c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</row>
    <row r="21" spans="1:59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</row>
    <row r="22" spans="1:59" ht="15.75">
      <c r="A22" s="52" t="s">
        <v>50</v>
      </c>
      <c r="B22" s="64">
        <f>SUM(B20+B11)</f>
        <v>1439550</v>
      </c>
      <c r="C22" s="64">
        <f t="shared" ref="C22:F22" si="15">SUM(C20+C11)</f>
        <v>1564250.5</v>
      </c>
      <c r="D22" s="64">
        <f t="shared" si="15"/>
        <v>1674016</v>
      </c>
      <c r="E22" s="64">
        <f t="shared" si="15"/>
        <v>1690976.5</v>
      </c>
      <c r="F22" s="64">
        <f t="shared" si="15"/>
        <v>1766930</v>
      </c>
      <c r="G22" s="27"/>
      <c r="H22" s="27"/>
      <c r="I22" s="27"/>
      <c r="J22" s="27"/>
      <c r="K22" s="27"/>
      <c r="L22" s="52" t="s">
        <v>50</v>
      </c>
      <c r="M22" s="64">
        <f>SUM(M20+M11)</f>
        <v>1439550</v>
      </c>
      <c r="N22" s="64">
        <f t="shared" ref="N22:Q22" si="16">SUM(N20+N11)</f>
        <v>1454047.5</v>
      </c>
      <c r="O22" s="64">
        <f t="shared" si="16"/>
        <v>1468612.25</v>
      </c>
      <c r="P22" s="64">
        <f t="shared" si="16"/>
        <v>1483482.5</v>
      </c>
      <c r="Q22" s="64">
        <f t="shared" si="16"/>
        <v>1498424.75</v>
      </c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</row>
    <row r="23" spans="1:59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</row>
    <row r="24" spans="1:59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</row>
    <row r="25" spans="1:59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 spans="1:59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 spans="1:59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</row>
    <row r="28" spans="1:59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</row>
    <row r="29" spans="1:5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59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59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59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</sheetData>
  <sheetProtection sheet="1" objects="1" scenarios="1"/>
  <mergeCells count="3">
    <mergeCell ref="A1:E1"/>
    <mergeCell ref="L2:Q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33"/>
  <sheetViews>
    <sheetView workbookViewId="0">
      <selection activeCell="H12" sqref="H12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45" t="s">
        <v>51</v>
      </c>
      <c r="B1" s="45"/>
      <c r="C1" s="45"/>
      <c r="D1" s="45"/>
      <c r="E1" s="45"/>
      <c r="F1" s="45"/>
      <c r="G1" s="45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pans="1:17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3" spans="1:17" ht="15.75">
      <c r="A3" s="105" t="s">
        <v>52</v>
      </c>
      <c r="B3" s="106"/>
      <c r="C3" s="106"/>
      <c r="D3" s="106"/>
      <c r="E3" s="106"/>
      <c r="F3" s="10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</row>
    <row r="4" spans="1:17">
      <c r="A4" s="3" t="s">
        <v>17</v>
      </c>
      <c r="B4" s="86">
        <v>2026</v>
      </c>
      <c r="C4" s="86">
        <f>B4+1</f>
        <v>2027</v>
      </c>
      <c r="D4" s="86">
        <f t="shared" ref="D4:F4" si="0">C4+1</f>
        <v>2028</v>
      </c>
      <c r="E4" s="86">
        <f t="shared" si="0"/>
        <v>2029</v>
      </c>
      <c r="F4" s="98">
        <f t="shared" si="0"/>
        <v>2030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</row>
    <row r="5" spans="1:17">
      <c r="A5" s="3" t="s">
        <v>19</v>
      </c>
      <c r="B5" s="50" cm="1">
        <f t="array" ref="B5:B11">expenses_value</f>
        <v>650000</v>
      </c>
      <c r="C5" s="46" cm="1">
        <f t="array" ref="C5">ROUND(B5*(1+inflation_rate),0)</f>
        <v>669500</v>
      </c>
      <c r="D5" s="46" cm="1">
        <f t="array" ref="D5">ROUND(C5*(1+inflation_rate),0)</f>
        <v>689585</v>
      </c>
      <c r="E5" s="46" cm="1">
        <f t="array" ref="E5">ROUND(D5*(1+inflation_rate),0)</f>
        <v>710273</v>
      </c>
      <c r="F5" s="46" cm="1">
        <f t="array" ref="F5">ROUND(E5*(1+inflation_rate),0)</f>
        <v>731581</v>
      </c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1:17">
      <c r="A6" s="3" t="s">
        <v>21</v>
      </c>
      <c r="B6" s="50">
        <v>110000</v>
      </c>
      <c r="C6" s="46" cm="1">
        <f t="array" ref="C6">ROUND(B6*(1+inflation_rate),0)</f>
        <v>113300</v>
      </c>
      <c r="D6" s="46" cm="1">
        <f t="array" ref="D6">ROUND(C6*(1+inflation_rate),0)</f>
        <v>116699</v>
      </c>
      <c r="E6" s="46" cm="1">
        <f t="array" ref="E6">ROUND(D6*(1+inflation_rate),0)</f>
        <v>120200</v>
      </c>
      <c r="F6" s="46" cm="1">
        <f t="array" ref="F6">ROUND(E6*(1+inflation_rate),0)</f>
        <v>123806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</row>
    <row r="7" spans="1:17">
      <c r="A7" s="78" t="s">
        <v>25</v>
      </c>
      <c r="B7" s="50">
        <v>85000</v>
      </c>
      <c r="C7" s="46" cm="1">
        <f t="array" ref="C7">ROUND(B7*(1+inflation_rate),0)</f>
        <v>87550</v>
      </c>
      <c r="D7" s="46" cm="1">
        <f t="array" ref="D7">ROUND(C7*(1+inflation_rate),0)</f>
        <v>90177</v>
      </c>
      <c r="E7" s="46" cm="1">
        <f t="array" ref="E7">ROUND(D7*(1+inflation_rate),0)</f>
        <v>92882</v>
      </c>
      <c r="F7" s="46" cm="1">
        <f t="array" ref="F7">ROUND(E7*(1+inflation_rate),0)</f>
        <v>95668</v>
      </c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</row>
    <row r="8" spans="1:17">
      <c r="A8" s="1" t="s">
        <v>28</v>
      </c>
      <c r="B8" s="108">
        <v>85000</v>
      </c>
      <c r="C8" s="109" cm="1">
        <f t="array" ref="C8">ROUND(B8*(1+inflation_rate),0)</f>
        <v>87550</v>
      </c>
      <c r="D8" s="109" cm="1">
        <f t="array" ref="D8">ROUND(C8*(1+inflation_rate),0)</f>
        <v>90177</v>
      </c>
      <c r="E8" s="109" cm="1">
        <f t="array" ref="E8">ROUND(D8*(1+inflation_rate),0)</f>
        <v>92882</v>
      </c>
      <c r="F8" s="109" cm="1">
        <f t="array" ref="F8">ROUND(E8*(1+inflation_rate),0)</f>
        <v>95668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</row>
    <row r="9" spans="1:17">
      <c r="A9" s="1" t="s">
        <v>29</v>
      </c>
      <c r="B9" s="50">
        <v>74000</v>
      </c>
      <c r="C9" s="46" cm="1">
        <f t="array" ref="C9">ROUND(B9*(1+inflation_rate),0)</f>
        <v>76220</v>
      </c>
      <c r="D9" s="46" cm="1">
        <f t="array" ref="D9">ROUND(C9*(1+inflation_rate),0)</f>
        <v>78507</v>
      </c>
      <c r="E9" s="46" cm="1">
        <f t="array" ref="E9">ROUND(D9*(1+inflation_rate),0)</f>
        <v>80862</v>
      </c>
      <c r="F9" s="46" cm="1">
        <f t="array" ref="F9">ROUND(E9*(1+inflation_rate),0)</f>
        <v>83288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</row>
    <row r="10" spans="1:17">
      <c r="A10" s="1" t="s">
        <v>31</v>
      </c>
      <c r="B10" s="50">
        <v>200000</v>
      </c>
      <c r="C10" s="46" cm="1">
        <f t="array" ref="C10">ROUND(B10*(1+inflation_rate),0)</f>
        <v>206000</v>
      </c>
      <c r="D10" s="46" cm="1">
        <f t="array" ref="D10">ROUND(C10*(1+inflation_rate),0)</f>
        <v>212180</v>
      </c>
      <c r="E10" s="46" cm="1">
        <f t="array" ref="E10">ROUND(D10*(1+inflation_rate),0)</f>
        <v>218545</v>
      </c>
      <c r="F10" s="46" cm="1">
        <f t="array" ref="F10">ROUND(E10*(1+inflation_rate),0)</f>
        <v>225101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</row>
    <row r="11" spans="1:17">
      <c r="A11" s="1" t="s">
        <v>33</v>
      </c>
      <c r="B11" s="51">
        <v>96000</v>
      </c>
      <c r="C11" s="49" cm="1">
        <f t="array" ref="C11">ROUND(B11*(1+inflation_rate),0)</f>
        <v>98880</v>
      </c>
      <c r="D11" s="49" cm="1">
        <f t="array" ref="D11">ROUND(C11*(1+inflation_rate),0)</f>
        <v>101846</v>
      </c>
      <c r="E11" s="49" cm="1">
        <f t="array" ref="E11">ROUND(D11*(1+inflation_rate),0)</f>
        <v>104901</v>
      </c>
      <c r="F11" s="49" cm="1">
        <f t="array" ref="F11">ROUND(E11*(1+inflation_rate),0)</f>
        <v>108048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</row>
    <row r="12" spans="1:17">
      <c r="A12" s="47" t="s">
        <v>53</v>
      </c>
      <c r="B12" s="48">
        <f>SUM(B5:B11)</f>
        <v>1300000</v>
      </c>
      <c r="C12" s="48">
        <f t="shared" ref="C12:F12" si="1">SUM(C5:C11)</f>
        <v>1339000</v>
      </c>
      <c r="D12" s="48">
        <f t="shared" si="1"/>
        <v>1379171</v>
      </c>
      <c r="E12" s="48">
        <f t="shared" si="1"/>
        <v>1420545</v>
      </c>
      <c r="F12" s="48">
        <f t="shared" si="1"/>
        <v>1463160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</row>
    <row r="13" spans="1:17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</row>
    <row r="14" spans="1:17" ht="15.75">
      <c r="A14" s="105" t="s">
        <v>54</v>
      </c>
      <c r="B14" s="106"/>
      <c r="C14" s="106"/>
      <c r="D14" s="106"/>
      <c r="E14" s="106"/>
      <c r="F14" s="10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</row>
    <row r="15" spans="1:17">
      <c r="A15" s="110" t="s">
        <v>17</v>
      </c>
      <c r="B15" s="86">
        <v>2026</v>
      </c>
      <c r="C15" s="86">
        <f>B15+1</f>
        <v>2027</v>
      </c>
      <c r="D15" s="86">
        <f>C15+1</f>
        <v>2028</v>
      </c>
      <c r="E15" s="86">
        <f>D15+1</f>
        <v>2029</v>
      </c>
      <c r="F15" s="98">
        <f>E15+1</f>
        <v>2030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</row>
    <row r="16" spans="1:17">
      <c r="A16" s="111" t="s">
        <v>54</v>
      </c>
      <c r="B16" s="112" cm="1">
        <f t="array" ref="B16:F16">debt_service_values</f>
        <v>165000</v>
      </c>
      <c r="C16" s="112">
        <v>165000</v>
      </c>
      <c r="D16" s="112">
        <v>175000</v>
      </c>
      <c r="E16" s="112">
        <v>175000</v>
      </c>
      <c r="F16" s="112">
        <v>175000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</row>
    <row r="17" spans="1: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</row>
    <row r="18" spans="1:17" ht="15.75">
      <c r="A18" s="52" t="s">
        <v>55</v>
      </c>
      <c r="B18" s="53">
        <f>SUM(B16+B12)</f>
        <v>1465000</v>
      </c>
      <c r="C18" s="53">
        <f t="shared" ref="C18:F18" si="2">SUM(C16+C12)</f>
        <v>1504000</v>
      </c>
      <c r="D18" s="53">
        <f t="shared" si="2"/>
        <v>1554171</v>
      </c>
      <c r="E18" s="53">
        <f t="shared" si="2"/>
        <v>1595545</v>
      </c>
      <c r="F18" s="53">
        <f t="shared" si="2"/>
        <v>1638160</v>
      </c>
      <c r="G18" s="27" t="s">
        <v>56</v>
      </c>
      <c r="H18" s="27"/>
      <c r="I18" s="27"/>
      <c r="J18" s="27"/>
      <c r="K18" s="27"/>
      <c r="L18" s="27"/>
      <c r="M18" s="27"/>
      <c r="N18" s="27"/>
      <c r="O18" s="27"/>
      <c r="P18" s="27"/>
      <c r="Q18" s="27"/>
    </row>
    <row r="19" spans="1:17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</row>
    <row r="20" spans="1:17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</row>
    <row r="21" spans="1:17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</row>
    <row r="22" spans="1:17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</row>
    <row r="23" spans="1:17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spans="1:17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</row>
    <row r="25" spans="1:17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</row>
    <row r="26" spans="1:17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spans="1:1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</row>
    <row r="28" spans="1:17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</row>
    <row r="29" spans="1:17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1:17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spans="1:17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1:17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</row>
    <row r="33" spans="1:17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</sheetData>
  <sheetProtection sheet="1" objects="1" scenarios="1"/>
  <mergeCells count="3">
    <mergeCell ref="A1:G1"/>
    <mergeCell ref="A3:F3"/>
    <mergeCell ref="A14:F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71A9-E3E6-4702-9C2B-B190BAB0F6FB}">
  <dimension ref="A1:P31"/>
  <sheetViews>
    <sheetView workbookViewId="0">
      <selection activeCell="E23" sqref="E23"/>
    </sheetView>
  </sheetViews>
  <sheetFormatPr defaultRowHeight="15"/>
  <cols>
    <col min="1" max="1" width="31.42578125" customWidth="1"/>
    <col min="2" max="6" width="13.28515625" bestFit="1" customWidth="1"/>
  </cols>
  <sheetData>
    <row r="1" spans="1:16" ht="18.75">
      <c r="A1" s="45" t="s">
        <v>57</v>
      </c>
      <c r="B1" s="45"/>
      <c r="C1" s="45"/>
      <c r="D1" s="45"/>
      <c r="E1" s="45"/>
      <c r="F1" s="45"/>
      <c r="G1" s="45"/>
      <c r="H1" s="45"/>
      <c r="I1" s="27"/>
      <c r="J1" s="27"/>
      <c r="K1" s="27"/>
      <c r="L1" s="27"/>
      <c r="M1" s="27"/>
      <c r="N1" s="27"/>
      <c r="O1" s="27"/>
      <c r="P1" s="27"/>
    </row>
    <row r="2" spans="1:16" ht="18.75">
      <c r="A2" s="70"/>
      <c r="B2" s="70"/>
      <c r="C2" s="70"/>
      <c r="D2" s="70"/>
      <c r="E2" s="70"/>
      <c r="F2" s="70"/>
      <c r="G2" s="70"/>
      <c r="H2" s="70"/>
      <c r="I2" s="27"/>
      <c r="J2" s="27"/>
      <c r="K2" s="27"/>
      <c r="L2" s="27"/>
      <c r="M2" s="27"/>
      <c r="N2" s="27"/>
      <c r="O2" s="27"/>
      <c r="P2" s="27"/>
    </row>
    <row r="3" spans="1:16">
      <c r="A3" s="63" t="s">
        <v>17</v>
      </c>
      <c r="B3" s="22" cm="1">
        <f t="array" ref="B3">currentyear</f>
        <v>2026</v>
      </c>
      <c r="C3" s="22">
        <f>B3+1</f>
        <v>2027</v>
      </c>
      <c r="D3" s="22">
        <f t="shared" ref="D3:F3" si="0">C3+1</f>
        <v>2028</v>
      </c>
      <c r="E3" s="22">
        <f t="shared" si="0"/>
        <v>2029</v>
      </c>
      <c r="F3" s="22">
        <f t="shared" si="0"/>
        <v>2030</v>
      </c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1:16">
      <c r="A4" s="75" t="s">
        <v>58</v>
      </c>
      <c r="B4" s="73" cm="1">
        <f t="array" ref="B4:F4">total_operating_revenue_row</f>
        <v>1439550</v>
      </c>
      <c r="C4" s="73">
        <v>1564250.5</v>
      </c>
      <c r="D4" s="73">
        <v>1674016</v>
      </c>
      <c r="E4" s="73">
        <v>1690976.5</v>
      </c>
      <c r="F4" s="74">
        <v>1766930</v>
      </c>
      <c r="G4" s="27"/>
      <c r="H4" s="27"/>
      <c r="I4" s="27"/>
      <c r="J4" s="27"/>
      <c r="K4" s="27"/>
      <c r="L4" s="27"/>
      <c r="M4" s="27"/>
      <c r="N4" s="27"/>
      <c r="O4" s="27"/>
      <c r="P4" s="27"/>
    </row>
    <row r="5" spans="1:16">
      <c r="A5" s="75" t="s">
        <v>55</v>
      </c>
      <c r="B5" s="73" cm="1">
        <f t="array" ref="B5:F5">total_cost_of_service_row</f>
        <v>1465000</v>
      </c>
      <c r="C5" s="73">
        <v>1504000</v>
      </c>
      <c r="D5" s="73">
        <v>1554171</v>
      </c>
      <c r="E5" s="73">
        <v>1595545</v>
      </c>
      <c r="F5" s="74">
        <v>1638160</v>
      </c>
      <c r="G5" s="27"/>
      <c r="H5" s="27"/>
      <c r="I5" s="27"/>
      <c r="J5" s="27"/>
      <c r="K5" s="27"/>
      <c r="L5" s="27"/>
      <c r="M5" s="27"/>
      <c r="N5" s="27"/>
      <c r="O5" s="27"/>
      <c r="P5" s="27"/>
    </row>
    <row r="6" spans="1:16">
      <c r="A6" s="75" t="s">
        <v>59</v>
      </c>
      <c r="B6" s="73">
        <f>B4-B5</f>
        <v>-25450</v>
      </c>
      <c r="C6" s="73">
        <f t="shared" ref="C6:F6" si="1">C4-C5</f>
        <v>60250.5</v>
      </c>
      <c r="D6" s="73">
        <f t="shared" si="1"/>
        <v>119845</v>
      </c>
      <c r="E6" s="73">
        <f t="shared" si="1"/>
        <v>95431.5</v>
      </c>
      <c r="F6" s="74">
        <f t="shared" si="1"/>
        <v>128770</v>
      </c>
      <c r="G6" s="27"/>
      <c r="H6" s="27"/>
      <c r="I6" s="27"/>
      <c r="J6" s="27"/>
      <c r="K6" s="27"/>
      <c r="L6" s="27"/>
      <c r="M6" s="27"/>
      <c r="N6" s="27"/>
      <c r="O6" s="27"/>
      <c r="P6" s="27"/>
    </row>
    <row r="7" spans="1:16">
      <c r="A7" s="81" t="s">
        <v>60</v>
      </c>
      <c r="B7" s="82">
        <f>B6</f>
        <v>-25450</v>
      </c>
      <c r="C7" s="82">
        <f>B7+C6</f>
        <v>34800.5</v>
      </c>
      <c r="D7" s="82">
        <f t="shared" ref="D7:F7" si="2">C7+D6</f>
        <v>154645.5</v>
      </c>
      <c r="E7" s="82">
        <f t="shared" si="2"/>
        <v>250077</v>
      </c>
      <c r="F7" s="83">
        <f t="shared" si="2"/>
        <v>378847</v>
      </c>
      <c r="G7" s="27"/>
      <c r="H7" s="27"/>
      <c r="I7" s="27"/>
      <c r="J7" s="27"/>
      <c r="K7" s="27"/>
      <c r="L7" s="27"/>
      <c r="M7" s="27"/>
      <c r="N7" s="27"/>
      <c r="O7" s="27"/>
      <c r="P7" s="27"/>
    </row>
    <row r="8" spans="1:16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</row>
    <row r="9" spans="1:16">
      <c r="A9" s="63" t="s">
        <v>17</v>
      </c>
      <c r="B9" s="22" cm="1">
        <f t="array" ref="B9">currentyear</f>
        <v>2026</v>
      </c>
      <c r="C9" s="22">
        <f>B9+1</f>
        <v>2027</v>
      </c>
      <c r="D9" s="22">
        <f t="shared" ref="D9:F9" si="3">C9+1</f>
        <v>2028</v>
      </c>
      <c r="E9" s="22">
        <f t="shared" si="3"/>
        <v>2029</v>
      </c>
      <c r="F9" s="22">
        <f t="shared" si="3"/>
        <v>2030</v>
      </c>
      <c r="G9" s="27"/>
      <c r="H9" s="27"/>
      <c r="I9" s="27"/>
      <c r="J9" s="27"/>
      <c r="K9" s="27"/>
      <c r="L9" s="27"/>
      <c r="M9" s="27"/>
      <c r="N9" s="27"/>
      <c r="O9" s="27"/>
      <c r="P9" s="27"/>
    </row>
    <row r="10" spans="1:16">
      <c r="A10" s="3" t="s">
        <v>61</v>
      </c>
      <c r="B10" s="73" cm="1">
        <f t="array" ref="B10:F10">total_operating_revenue_row - total_operating_expenses</f>
        <v>139550</v>
      </c>
      <c r="C10" s="73">
        <v>225250.5</v>
      </c>
      <c r="D10" s="73">
        <v>294845</v>
      </c>
      <c r="E10" s="73">
        <v>270431.5</v>
      </c>
      <c r="F10" s="74">
        <v>303770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spans="1:16">
      <c r="A11" s="3" t="s">
        <v>54</v>
      </c>
      <c r="B11" s="73" cm="1">
        <f t="array" ref="B11:F11">debt_service_values</f>
        <v>165000</v>
      </c>
      <c r="C11" s="73">
        <v>165000</v>
      </c>
      <c r="D11" s="73">
        <v>175000</v>
      </c>
      <c r="E11" s="73">
        <v>175000</v>
      </c>
      <c r="F11" s="74">
        <v>175000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</row>
    <row r="12" spans="1:16" ht="21" customHeight="1">
      <c r="A12" s="75" t="s">
        <v>62</v>
      </c>
      <c r="B12" s="76">
        <f>B10/B11</f>
        <v>0.84575757575757571</v>
      </c>
      <c r="C12" s="76">
        <f t="shared" ref="C12:F12" si="4">C10/C11</f>
        <v>1.3651545454545455</v>
      </c>
      <c r="D12" s="76">
        <f t="shared" si="4"/>
        <v>1.6848285714285713</v>
      </c>
      <c r="E12" s="76">
        <f t="shared" si="4"/>
        <v>1.5453228571428572</v>
      </c>
      <c r="F12" s="77">
        <f t="shared" si="4"/>
        <v>1.7358285714285715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</row>
    <row r="13" spans="1:16">
      <c r="A13" s="78" t="s">
        <v>63</v>
      </c>
      <c r="B13" s="79" t="str" cm="1">
        <f t="array" ref="B13">IF(B12&gt;=target_dscr, "Sufficient", "Insufficient")</f>
        <v>Insufficient</v>
      </c>
      <c r="C13" s="79" t="str" cm="1">
        <f t="array" ref="C13">IF(C12&gt;=target_dscr, "Sufficient", "Insufficient")</f>
        <v>Sufficient</v>
      </c>
      <c r="D13" s="79" t="str" cm="1">
        <f t="array" ref="D13">IF(D12&gt;=target_dscr, "Sufficient", "Insufficient")</f>
        <v>Sufficient</v>
      </c>
      <c r="E13" s="79" t="str" cm="1">
        <f t="array" ref="E13">IF(E12&gt;=target_dscr, "Sufficient", "Insufficient")</f>
        <v>Sufficient</v>
      </c>
      <c r="F13" s="80" t="str" cm="1">
        <f t="array" ref="F13">IF(F12&gt;=target_dscr, "Sufficient", "Insufficient")</f>
        <v>Sufficient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</row>
    <row r="14" spans="1:16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</row>
    <row r="15" spans="1:16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</row>
    <row r="16" spans="1: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16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</row>
    <row r="18" spans="1:16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</row>
    <row r="19" spans="1:16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</row>
    <row r="20" spans="1:16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</row>
    <row r="21" spans="1:16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</row>
    <row r="22" spans="1:16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</row>
    <row r="23" spans="1:16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</row>
    <row r="24" spans="1:16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</row>
    <row r="25" spans="1:16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</row>
    <row r="26" spans="1:1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</row>
    <row r="27" spans="1:16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</row>
    <row r="28" spans="1:16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</row>
    <row r="29" spans="1:16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</row>
    <row r="30" spans="1:16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</row>
    <row r="31" spans="1:16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</row>
  </sheetData>
  <sheetProtection sheet="1" objects="1" scenarios="1"/>
  <mergeCells count="1">
    <mergeCell ref="A1:H1"/>
  </mergeCells>
  <conditionalFormatting sqref="B13:F13">
    <cfRule type="containsText" dxfId="3" priority="4" operator="containsText" text="Sufficient">
      <formula>NOT(ISERROR(SEARCH("Sufficient",B13)))</formula>
    </cfRule>
  </conditionalFormatting>
  <conditionalFormatting sqref="B13:F13">
    <cfRule type="containsText" dxfId="2" priority="3" operator="containsText" text="Insufficient">
      <formula>NOT(ISERROR(SEARCH("Insufficient",B13)))</formula>
    </cfRule>
  </conditionalFormatting>
  <conditionalFormatting sqref="B6:F6">
    <cfRule type="cellIs" dxfId="1" priority="2" operator="greaterThanOrEqual">
      <formula>0</formula>
    </cfRule>
  </conditionalFormatting>
  <conditionalFormatting sqref="B6:F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2026-05-29T23:17:31Z</dcterms:modified>
  <cp:category/>
  <cp:contentStatus/>
</cp:coreProperties>
</file>