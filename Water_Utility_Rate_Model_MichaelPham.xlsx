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defaultThemeVersion="166925"/>
  <xr:revisionPtr revIDLastSave="0" documentId="8_{FE07FE46-6380-4676-A24D-985058494B85}" xr6:coauthVersionLast="47" xr6:coauthVersionMax="47" xr10:uidLastSave="{00000000-0000-0000-0000-000000000000}"/>
  <bookViews>
    <workbookView xWindow="240" yWindow="105" windowWidth="14805" windowHeight="8010" firstSheet="3" xr2:uid="{00000000-000D-0000-FFFF-FFFF00000000}"/>
  </bookViews>
  <sheets>
    <sheet name="Inputs" sheetId="1" r:id="rId1"/>
    <sheet name="Dashboard" sheetId="5" r:id="rId2"/>
    <sheet name="Revenue_Model" sheetId="2" r:id="rId3"/>
    <sheet name="Expense_Model" sheetId="3" r:id="rId4"/>
    <sheet name="Rate_Sufficiency_Analysis" sheetId="4" r:id="rId5"/>
  </sheets>
  <definedNames>
    <definedName name="base_chargeRS1">Inputs!$C$14:$G$14</definedName>
    <definedName name="base_chargeRS2">Inputs!$C$24:$G$24</definedName>
    <definedName name="currentyear">Inputs!$C$11:$C$11</definedName>
    <definedName name="debt_service_values">Inputs!$X$12:$AB$12</definedName>
    <definedName name="expenses_value">Inputs!$R$12:$R$18</definedName>
    <definedName name="inflation_rate">Inputs!$E$7:$E$7</definedName>
    <definedName name="num_accounts">Inputs!$B$8:$B$8</definedName>
    <definedName name="num_accountsRS1">Inputs!$A$16:$A$16</definedName>
    <definedName name="num_accountsRS2">Inputs!$A$26:$A$26</definedName>
    <definedName name="pop_growth_rate">Inputs!$E$8:$E$8</definedName>
    <definedName name="rate_structure_1">Inputs!$A$14:$A$14</definedName>
    <definedName name="rate_structure_2">Inputs!$A$24:$A$24</definedName>
    <definedName name="RS1_base_charge2026">Inputs!$C$14:$C$14</definedName>
    <definedName name="RS1_block_consumption2026">Inputs!$K$13:$K$15</definedName>
    <definedName name="RS1_block_consumption2027">Inputs!$L$13:$L$15</definedName>
    <definedName name="RS1_block_consumption2028">Inputs!$M$13:$M$15</definedName>
    <definedName name="RS1_block_consumption2029">Inputs!$N$13:$N$15</definedName>
    <definedName name="RS1_block_consumption2030">Inputs!$O$13:$O$15</definedName>
    <definedName name="RS1_num_accounts">Revenue_Model!$B$6:$F$6</definedName>
    <definedName name="RS1_num_accounts_currentyear">Inputs!$A$16:$A$16</definedName>
    <definedName name="RS1_vrates2026">Inputs!$C$19:$C$21</definedName>
    <definedName name="RS1_vrates2027">Inputs!$D$19:$D$21</definedName>
    <definedName name="RS1_vrates2028">Inputs!$E$19:$E$21</definedName>
    <definedName name="RS1_vrates2029">Inputs!$F$19:$F$21</definedName>
    <definedName name="RS1_vrates2030">Inputs!$G$19:$G$21</definedName>
    <definedName name="RS2_base_charge2026">Inputs!$C$24:$C$24</definedName>
    <definedName name="RS2_block_consumption2026">Inputs!$K$18:$K$20</definedName>
    <definedName name="RS2_block_consumption2027">Inputs!$L$18:$L$20</definedName>
    <definedName name="RS2_block_consumption2028">Inputs!$M$18:$M$20</definedName>
    <definedName name="RS2_block_consumption2029">Inputs!$N$18:$N$20</definedName>
    <definedName name="RS2_block_consumption2030">Inputs!$O$18:$O$20</definedName>
    <definedName name="RS2_num_accounts">Revenue_Model!$B$15:$F$15</definedName>
    <definedName name="RS2_num_accounts_currentyear">Inputs!$A$26:$A$26</definedName>
    <definedName name="RS2_vrates2026">Inputs!$C$29:$C$31</definedName>
    <definedName name="RS2_vrates2027">Inputs!$D$29:$D$31</definedName>
    <definedName name="RS2_vrates2028">Inputs!$E$29:$E$31</definedName>
    <definedName name="RS2_vrates2029">Inputs!$F$29:$F$31</definedName>
    <definedName name="RS2_vrates2030">Inputs!$G$29:$G$31</definedName>
    <definedName name="target_dscr">Inputs!$E$9:$E$9</definedName>
    <definedName name="total_cost_of_service_row">Expense_Model!$B$18:$F$18</definedName>
    <definedName name="total_operating_expenses">Expense_Model!$B$12:$F$12</definedName>
    <definedName name="total_operating_revenue_row">Revenue_Model!$B$22:$F$22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1" l="1"/>
  <c r="A17" i="4" a="1"/>
  <c r="A17" i="4"/>
  <c r="A16" i="4" a="1"/>
  <c r="A16" i="4"/>
  <c r="D17" i="4"/>
  <c r="D16" i="4"/>
  <c r="C17" i="4" a="1"/>
  <c r="C17" i="4" s="1"/>
  <c r="C16" i="4" a="1"/>
  <c r="C16" i="4" s="1"/>
  <c r="Q17" i="2" a="1"/>
  <c r="Q17" i="2"/>
  <c r="P17" i="2" a="1"/>
  <c r="P17" i="2"/>
  <c r="O17" i="2" a="1"/>
  <c r="O17" i="2"/>
  <c r="N17" i="2" a="1"/>
  <c r="N17" i="2"/>
  <c r="M17" i="2" a="1"/>
  <c r="M17" i="2"/>
  <c r="Q8" i="2" a="1"/>
  <c r="Q8" i="2"/>
  <c r="P8" i="2" a="1"/>
  <c r="P8" i="2"/>
  <c r="O8" i="2" a="1"/>
  <c r="O8" i="2"/>
  <c r="N8" i="2" a="1"/>
  <c r="N8" i="2"/>
  <c r="M8" i="2" a="1"/>
  <c r="M8" i="2"/>
  <c r="F17" i="2" a="1"/>
  <c r="F17" i="2"/>
  <c r="E17" i="2" a="1"/>
  <c r="E17" i="2"/>
  <c r="D17" i="2" a="1"/>
  <c r="D17" i="2"/>
  <c r="C17" i="2" a="1"/>
  <c r="C17" i="2"/>
  <c r="B17" i="2" a="1"/>
  <c r="B17" i="2"/>
  <c r="F8" i="2" a="1"/>
  <c r="F8" i="2"/>
  <c r="E8" i="2" a="1"/>
  <c r="E8" i="2"/>
  <c r="D8" i="2" a="1"/>
  <c r="D8" i="2"/>
  <c r="C8" i="2" a="1"/>
  <c r="C8" i="2"/>
  <c r="B8" i="2" a="1"/>
  <c r="B8" i="2"/>
  <c r="B16" i="4" a="1"/>
  <c r="B16" i="4"/>
  <c r="B5" i="3" a="1"/>
  <c r="B5" i="3"/>
  <c r="L19" i="1" a="1"/>
  <c r="L19" i="1"/>
  <c r="M19" i="1" a="1"/>
  <c r="M19" i="1"/>
  <c r="N19" i="1" a="1"/>
  <c r="N19" i="1"/>
  <c r="O19" i="1" a="1"/>
  <c r="O19" i="1"/>
  <c r="L20" i="1" a="1"/>
  <c r="L20" i="1"/>
  <c r="M20" i="1" a="1"/>
  <c r="M20" i="1"/>
  <c r="N20" i="1" a="1"/>
  <c r="N20" i="1"/>
  <c r="O20" i="1" a="1"/>
  <c r="O20" i="1"/>
  <c r="L18" i="1" a="1"/>
  <c r="L18" i="1"/>
  <c r="L13" i="1" a="1"/>
  <c r="L13" i="1"/>
  <c r="L14" i="1" a="1"/>
  <c r="L14" i="1"/>
  <c r="M14" i="1" a="1"/>
  <c r="M14" i="1"/>
  <c r="N14" i="1" a="1"/>
  <c r="N14" i="1"/>
  <c r="O14" i="1" a="1"/>
  <c r="O14" i="1"/>
  <c r="L15" i="1" a="1"/>
  <c r="L15" i="1"/>
  <c r="M15" i="1" a="1"/>
  <c r="M15" i="1"/>
  <c r="N15" i="1" a="1"/>
  <c r="N15" i="1"/>
  <c r="O15" i="1" a="1"/>
  <c r="O15" i="1"/>
  <c r="M13" i="1" a="1"/>
  <c r="M13" i="1"/>
  <c r="N13" i="1" a="1"/>
  <c r="N13" i="1"/>
  <c r="O13" i="1" a="1"/>
  <c r="O13" i="1"/>
  <c r="K17" i="1" a="1"/>
  <c r="K17" i="1" s="1"/>
  <c r="L17" i="1" s="1"/>
  <c r="M17" i="1" s="1"/>
  <c r="N17" i="1" s="1"/>
  <c r="O17" i="1" s="1"/>
  <c r="K12" i="1" a="1"/>
  <c r="K12" i="1" s="1"/>
  <c r="L12" i="1" s="1"/>
  <c r="M12" i="1" s="1"/>
  <c r="N12" i="1" s="1"/>
  <c r="O12" i="1" s="1"/>
  <c r="A26" i="1"/>
  <c r="M6" i="2" a="1"/>
  <c r="M6" i="2"/>
  <c r="N6" i="2" s="1" a="1"/>
  <c r="N6" i="2" s="1"/>
  <c r="O6" i="2" s="1" a="1"/>
  <c r="O6" i="2" s="1"/>
  <c r="P6" i="2" s="1" a="1"/>
  <c r="P6" i="2" s="1"/>
  <c r="Q6" i="2" s="1" a="1"/>
  <c r="Q6" i="2" s="1"/>
  <c r="M15" i="2" a="1"/>
  <c r="M15" i="2" s="1"/>
  <c r="N15" i="2" s="1" a="1"/>
  <c r="N15" i="2" s="1"/>
  <c r="O15" i="2" s="1" a="1"/>
  <c r="O15" i="2" s="1"/>
  <c r="P15" i="2" s="1" a="1"/>
  <c r="P15" i="2" s="1"/>
  <c r="Q15" i="2" s="1" a="1"/>
  <c r="Q15" i="2" s="1"/>
  <c r="M14" i="2" a="1"/>
  <c r="M14" i="2" s="1"/>
  <c r="N14" i="2" s="1"/>
  <c r="O14" i="2" s="1"/>
  <c r="P14" i="2" s="1"/>
  <c r="Q14" i="2" s="1"/>
  <c r="M5" i="2" a="1"/>
  <c r="M5" i="2" s="1"/>
  <c r="N5" i="2" s="1"/>
  <c r="O5" i="2" s="1"/>
  <c r="P5" i="2" s="1"/>
  <c r="Q5" i="2" s="1"/>
  <c r="AB12" i="1"/>
  <c r="AA12" i="1"/>
  <c r="Z12" i="1"/>
  <c r="Y12" i="1"/>
  <c r="X12" i="1"/>
  <c r="B16" i="3" a="1"/>
  <c r="B16" i="3"/>
  <c r="T14" i="1"/>
  <c r="T15" i="1"/>
  <c r="T16" i="1"/>
  <c r="T17" i="1"/>
  <c r="Y11" i="1"/>
  <c r="Z11" i="1" s="1"/>
  <c r="AA11" i="1" s="1"/>
  <c r="AB11" i="1" s="1"/>
  <c r="B9" i="4" a="1"/>
  <c r="B9" i="4" s="1"/>
  <c r="C9" i="4" s="1"/>
  <c r="D9" i="4" s="1"/>
  <c r="E9" i="4" s="1"/>
  <c r="F9" i="4" s="1"/>
  <c r="B3" i="4" a="1"/>
  <c r="B3" i="4" s="1"/>
  <c r="C3" i="4" s="1"/>
  <c r="D3" i="4" s="1"/>
  <c r="E3" i="4" s="1"/>
  <c r="F3" i="4" s="1"/>
  <c r="B14" i="2" a="1"/>
  <c r="B14" i="2"/>
  <c r="B5" i="2" a="1"/>
  <c r="B5" i="2"/>
  <c r="C15" i="3"/>
  <c r="D15" i="3" s="1"/>
  <c r="E15" i="3" s="1"/>
  <c r="F15" i="3" s="1"/>
  <c r="B12" i="3"/>
  <c r="C6" i="3" a="1"/>
  <c r="C6" i="3"/>
  <c r="D6" i="3" a="1"/>
  <c r="D6" i="3"/>
  <c r="E6" i="3" a="1"/>
  <c r="E6" i="3"/>
  <c r="F6" i="3" a="1"/>
  <c r="F6" i="3"/>
  <c r="C7" i="3" a="1"/>
  <c r="C7" i="3"/>
  <c r="D7" i="3" a="1"/>
  <c r="D7" i="3"/>
  <c r="E7" i="3" a="1"/>
  <c r="E7" i="3"/>
  <c r="F7" i="3" a="1"/>
  <c r="F7" i="3"/>
  <c r="C8" i="3" a="1"/>
  <c r="C8" i="3"/>
  <c r="D8" i="3" a="1"/>
  <c r="D8" i="3"/>
  <c r="E8" i="3" a="1"/>
  <c r="E8" i="3"/>
  <c r="F8" i="3" a="1"/>
  <c r="F8" i="3"/>
  <c r="C9" i="3" a="1"/>
  <c r="C9" i="3"/>
  <c r="D9" i="3" a="1"/>
  <c r="D9" i="3"/>
  <c r="E9" i="3" a="1"/>
  <c r="E9" i="3"/>
  <c r="F9" i="3" a="1"/>
  <c r="F9" i="3"/>
  <c r="C10" i="3" a="1"/>
  <c r="C10" i="3"/>
  <c r="D10" i="3" a="1"/>
  <c r="D10" i="3"/>
  <c r="E10" i="3" a="1"/>
  <c r="E10" i="3"/>
  <c r="F10" i="3" a="1"/>
  <c r="F10" i="3"/>
  <c r="C11" i="3" a="1"/>
  <c r="C11" i="3"/>
  <c r="D11" i="3" a="1"/>
  <c r="D11" i="3"/>
  <c r="E11" i="3" a="1"/>
  <c r="E11" i="3"/>
  <c r="F11" i="3" a="1"/>
  <c r="F11" i="3"/>
  <c r="C5" i="3" a="1"/>
  <c r="C5" i="3"/>
  <c r="C4" i="3"/>
  <c r="D4" i="3" s="1"/>
  <c r="E4" i="3" s="1"/>
  <c r="F4" i="3" s="1"/>
  <c r="B15" i="2" a="1"/>
  <c r="B15" i="2"/>
  <c r="B6" i="2" a="1"/>
  <c r="B6" i="2"/>
  <c r="C14" i="2"/>
  <c r="D14" i="2" s="1"/>
  <c r="E14" i="2" s="1"/>
  <c r="F14" i="2" s="1"/>
  <c r="C5" i="2"/>
  <c r="D5" i="2" s="1"/>
  <c r="E5" i="2" s="1"/>
  <c r="F5" i="2" s="1"/>
  <c r="I18" i="1" a="1"/>
  <c r="I18" i="1"/>
  <c r="I13" i="1" a="1"/>
  <c r="I13" i="1"/>
  <c r="D11" i="1"/>
  <c r="E11" i="1" s="1"/>
  <c r="F11" i="1" s="1"/>
  <c r="G11" i="1" s="1"/>
  <c r="M18" i="1" l="1" a="1"/>
  <c r="M18" i="1" s="1"/>
  <c r="C15" i="2" a="1"/>
  <c r="C15" i="2" s="1"/>
  <c r="C6" i="2" a="1"/>
  <c r="C6" i="2" s="1"/>
  <c r="C12" i="3"/>
  <c r="C18" i="3" s="1"/>
  <c r="D5" i="3" a="1"/>
  <c r="D5" i="3" s="1"/>
  <c r="N18" i="1" l="1" a="1"/>
  <c r="N18" i="1" s="1"/>
  <c r="D15" i="2" a="1"/>
  <c r="D15" i="2" s="1"/>
  <c r="D6" i="2" a="1"/>
  <c r="D6" i="2" s="1"/>
  <c r="D12" i="3"/>
  <c r="D18" i="3" s="1"/>
  <c r="E5" i="3" a="1"/>
  <c r="E5" i="3" s="1"/>
  <c r="O18" i="1" l="1" a="1"/>
  <c r="O18" i="1" s="1"/>
  <c r="E6" i="2" a="1"/>
  <c r="E6" i="2" s="1"/>
  <c r="E15" i="2" a="1"/>
  <c r="E15" i="2" s="1"/>
  <c r="E12" i="3"/>
  <c r="E18" i="3" s="1"/>
  <c r="F5" i="3" a="1"/>
  <c r="F5" i="3" s="1"/>
  <c r="F12" i="3" s="1"/>
  <c r="F18" i="3" s="1"/>
  <c r="F6" i="2" l="1" a="1"/>
  <c r="F6" i="2" s="1"/>
  <c r="M7" i="2" s="1" a="1"/>
  <c r="M7" i="2" s="1"/>
  <c r="B7" i="2" a="1"/>
  <c r="F15" i="2" a="1"/>
  <c r="F15" i="2" s="1"/>
  <c r="M16" i="2" s="1" a="1"/>
  <c r="M16" i="2" s="1"/>
  <c r="B16" i="2" a="1"/>
  <c r="B18" i="3"/>
  <c r="B5" i="4" a="1"/>
  <c r="B11" i="4" a="1"/>
  <c r="C11" i="2" l="1"/>
  <c r="D11" i="2"/>
  <c r="E11" i="2"/>
  <c r="F11" i="2"/>
  <c r="B7" i="2"/>
  <c r="B11" i="2" s="1"/>
  <c r="Q11" i="2"/>
  <c r="P11" i="2"/>
  <c r="O11" i="2"/>
  <c r="N11" i="2"/>
  <c r="M11" i="2"/>
  <c r="C20" i="2"/>
  <c r="C22" i="2" s="1"/>
  <c r="D20" i="2"/>
  <c r="D22" i="2" s="1"/>
  <c r="E20" i="2"/>
  <c r="E22" i="2" s="1"/>
  <c r="F20" i="2"/>
  <c r="F22" i="2" s="1"/>
  <c r="B16" i="2"/>
  <c r="B20" i="2" s="1"/>
  <c r="B22" i="2" s="1"/>
  <c r="B4" i="4" s="1" a="1"/>
  <c r="B4" i="4" s="1"/>
  <c r="Q20" i="2"/>
  <c r="Q22" i="2" s="1"/>
  <c r="P20" i="2"/>
  <c r="P22" i="2" s="1"/>
  <c r="O20" i="2"/>
  <c r="O22" i="2" s="1"/>
  <c r="N20" i="2"/>
  <c r="N22" i="2" s="1"/>
  <c r="M20" i="2"/>
  <c r="M22" i="2" s="1"/>
  <c r="B11" i="4"/>
  <c r="B5" i="4"/>
  <c r="B10" i="4" l="1" a="1"/>
  <c r="Z4" i="2"/>
  <c r="AA4" i="2"/>
  <c r="AB4" i="2"/>
  <c r="AC4" i="2"/>
  <c r="B6" i="4" l="1"/>
  <c r="B7" i="4" s="1"/>
  <c r="C6" i="4"/>
  <c r="D6" i="4"/>
  <c r="D12" i="4" s="1"/>
  <c r="D13" i="4" s="1" a="1"/>
  <c r="D13" i="4" s="1"/>
  <c r="E6" i="4"/>
  <c r="E12" i="4" s="1"/>
  <c r="E13" i="4" s="1" a="1"/>
  <c r="E13" i="4" s="1"/>
  <c r="F6" i="4"/>
  <c r="F12" i="4" s="1"/>
  <c r="F13" i="4" s="1" a="1"/>
  <c r="F13" i="4" s="1"/>
  <c r="B10" i="4"/>
  <c r="B12" i="4" s="1"/>
  <c r="B13" i="4" s="1" a="1"/>
  <c r="B13" i="4" s="1"/>
  <c r="C12" i="4"/>
  <c r="C13" i="4" s="1" a="1"/>
  <c r="C13" i="4" s="1"/>
  <c r="C7" i="4" l="1"/>
  <c r="D7" i="4" s="1"/>
  <c r="E7" i="4" s="1"/>
  <c r="F7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<sst xmlns="http://schemas.openxmlformats.org/spreadsheetml/2006/main" count="125" uniqueCount="68">
  <si>
    <t>Water Utility Financial Model</t>
  </si>
  <si>
    <t>5-Year Rate Sufficiency Analysis | 2026-2030</t>
  </si>
  <si>
    <t>Inputs: Rates, Accounts, Water Consumption</t>
  </si>
  <si>
    <t>Utility:</t>
  </si>
  <si>
    <t>Stringtown, TX</t>
  </si>
  <si>
    <t>Assumptions:</t>
  </si>
  <si>
    <t>Population:</t>
  </si>
  <si>
    <t>Inflation Rate:</t>
  </si>
  <si>
    <t>Number of Accounts:</t>
  </si>
  <si>
    <t>Population Growth Rate:</t>
  </si>
  <si>
    <t>Annual Water Consumption:</t>
  </si>
  <si>
    <t>Target DSCR:</t>
  </si>
  <si>
    <t>Rate Structure(s)</t>
  </si>
  <si>
    <t>Year:</t>
  </si>
  <si>
    <t>Monthly Consumption Over Included Amount</t>
  </si>
  <si>
    <t>Annual Operating Expenses</t>
  </si>
  <si>
    <t>Annual Debt Service</t>
  </si>
  <si>
    <t>Year</t>
  </si>
  <si>
    <t>Rate Structure 1:</t>
  </si>
  <si>
    <t>Salaries</t>
  </si>
  <si>
    <t>Block 1:</t>
  </si>
  <si>
    <t>Chemicals/Treatments</t>
  </si>
  <si>
    <t>Residential water, inside</t>
  </si>
  <si>
    <t>Base Charge (monthly):</t>
  </si>
  <si>
    <t>Block 2:</t>
  </si>
  <si>
    <t>Energy and Utilities</t>
  </si>
  <si>
    <t>Consumption included with base charge (gallons/month):</t>
  </si>
  <si>
    <t>Block 3:</t>
  </si>
  <si>
    <t>Maintenance &amp; Repairs</t>
  </si>
  <si>
    <t>Administrative</t>
  </si>
  <si>
    <t>Rate Structure 2:</t>
  </si>
  <si>
    <t>Cash Reserves</t>
  </si>
  <si>
    <t>Block cutoffs, starts at 2000</t>
  </si>
  <si>
    <t>Other</t>
  </si>
  <si>
    <t>Block rate 1 ($/1000 gal)</t>
  </si>
  <si>
    <t>Block rate 2 ($/1000 gal)</t>
  </si>
  <si>
    <t>Block rate 3 ($/1000 gal)</t>
  </si>
  <si>
    <t>*In 1000 gallons/month, excluding included amount</t>
  </si>
  <si>
    <t>Commerical, inside</t>
  </si>
  <si>
    <t>Stringtown Water Utility Summary Dashboard</t>
  </si>
  <si>
    <t>Revenue Projections | 2026 - 2030</t>
  </si>
  <si>
    <t>Using Existing Rates</t>
  </si>
  <si>
    <t>Using New Rates Starting in 2027</t>
  </si>
  <si>
    <t>Number of Accounts</t>
  </si>
  <si>
    <t>Base Charge Revenue</t>
  </si>
  <si>
    <t>Block 1 Revenue</t>
  </si>
  <si>
    <t>Block 2 Revenue</t>
  </si>
  <si>
    <t>Block 3 Revenue</t>
  </si>
  <si>
    <t>RS1 Operating Revenue</t>
  </si>
  <si>
    <t>RS2 Operating Revenue</t>
  </si>
  <si>
    <t>Total Operating Revenue</t>
  </si>
  <si>
    <t>Expense Projections | 2026 - 2030</t>
  </si>
  <si>
    <t>Operating Expenses</t>
  </si>
  <si>
    <t>Total Operating Expenses</t>
  </si>
  <si>
    <t>Debt Service</t>
  </si>
  <si>
    <t>Total Cost of Service</t>
  </si>
  <si>
    <t>*Revenue Requirements</t>
  </si>
  <si>
    <t>Rate Sufficiency Analysis | 2026 - 2030</t>
  </si>
  <si>
    <t>Total Revenue</t>
  </si>
  <si>
    <t>Annual Surplus (Deficit)</t>
  </si>
  <si>
    <t>Cumulative Surplus (Deficit)</t>
  </si>
  <si>
    <t>Net Operating Income</t>
  </si>
  <si>
    <t>Debt Service Coverage Ratio (DSCR)</t>
  </si>
  <si>
    <t>DSCR Sufficient?</t>
  </si>
  <si>
    <t>Current Monthly Bill</t>
  </si>
  <si>
    <t>Base Charge</t>
  </si>
  <si>
    <t>Volumetric Charge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</si>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</sst>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%"/>
    <numFmt numFmtId="165" formatCode="&quot;$&quot;#,##0"/>
  </numFmts>
  <fonts count="10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000000"/>
      <name val="Calibri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rgb="FF242424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2" borderId="0" xfId="0" applyFont="1" applyFill="1"/>
    <xf numFmtId="0" fontId="0" fillId="3" borderId="1" xfId="0" applyFill="1" applyBorder="1"/>
    <xf numFmtId="0" fontId="1" fillId="2" borderId="5" xfId="0" applyFont="1" applyFill="1" applyBorder="1"/>
    <xf numFmtId="0" fontId="3" fillId="2" borderId="5" xfId="0" applyFont="1" applyFill="1" applyBorder="1"/>
    <xf numFmtId="0" fontId="3" fillId="2" borderId="7" xfId="0" applyFont="1" applyFill="1" applyBorder="1"/>
    <xf numFmtId="0" fontId="0" fillId="2" borderId="4" xfId="0" applyFill="1" applyBorder="1" applyAlignment="1">
      <alignment horizontal="center"/>
    </xf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4" fillId="3" borderId="9" xfId="0" applyFont="1" applyFill="1" applyBorder="1"/>
    <xf numFmtId="0" fontId="1" fillId="2" borderId="2" xfId="0" applyFont="1" applyFill="1" applyBorder="1" applyAlignment="1">
      <alignment wrapText="1"/>
    </xf>
    <xf numFmtId="0" fontId="0" fillId="2" borderId="0" xfId="0" applyFill="1" applyBorder="1"/>
    <xf numFmtId="0" fontId="0" fillId="3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1" fillId="2" borderId="3" xfId="0" applyFont="1" applyFill="1" applyBorder="1"/>
    <xf numFmtId="0" fontId="0" fillId="2" borderId="3" xfId="0" applyFont="1" applyFill="1" applyBorder="1"/>
    <xf numFmtId="0" fontId="5" fillId="3" borderId="5" xfId="0" applyFont="1" applyFill="1" applyBorder="1"/>
    <xf numFmtId="164" fontId="0" fillId="3" borderId="1" xfId="0" applyNumberForma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0" fillId="3" borderId="10" xfId="0" applyFill="1" applyBorder="1"/>
    <xf numFmtId="0" fontId="0" fillId="3" borderId="8" xfId="0" applyFill="1" applyBorder="1"/>
    <xf numFmtId="0" fontId="3" fillId="2" borderId="1" xfId="0" applyFont="1" applyFill="1" applyBorder="1" applyAlignment="1">
      <alignment horizontal="left"/>
    </xf>
    <xf numFmtId="0" fontId="0" fillId="4" borderId="0" xfId="0" applyFill="1"/>
    <xf numFmtId="0" fontId="0" fillId="4" borderId="5" xfId="0" applyFill="1" applyBorder="1"/>
    <xf numFmtId="0" fontId="0" fillId="4" borderId="0" xfId="0" applyFill="1" applyBorder="1"/>
    <xf numFmtId="0" fontId="0" fillId="4" borderId="0" xfId="0" applyFill="1" applyAlignment="1">
      <alignment wrapText="1"/>
    </xf>
    <xf numFmtId="0" fontId="0" fillId="4" borderId="6" xfId="0" applyFill="1" applyBorder="1"/>
    <xf numFmtId="0" fontId="1" fillId="2" borderId="5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3" fontId="0" fillId="3" borderId="1" xfId="0" applyNumberFormat="1" applyFill="1" applyBorder="1"/>
    <xf numFmtId="0" fontId="3" fillId="2" borderId="0" xfId="0" applyFont="1" applyFill="1"/>
    <xf numFmtId="6" fontId="0" fillId="3" borderId="1" xfId="0" applyNumberFormat="1" applyFill="1" applyBorder="1"/>
    <xf numFmtId="6" fontId="0" fillId="3" borderId="12" xfId="0" applyNumberFormat="1" applyFill="1" applyBorder="1"/>
    <xf numFmtId="8" fontId="0" fillId="3" borderId="1" xfId="0" applyNumberFormat="1" applyFill="1" applyBorder="1"/>
    <xf numFmtId="8" fontId="0" fillId="3" borderId="10" xfId="0" applyNumberFormat="1" applyFill="1" applyBorder="1"/>
    <xf numFmtId="3" fontId="0" fillId="3" borderId="10" xfId="0" applyNumberFormat="1" applyFill="1" applyBorder="1"/>
    <xf numFmtId="0" fontId="5" fillId="3" borderId="5" xfId="0" applyFont="1" applyFill="1" applyBorder="1" applyAlignment="1">
      <alignment horizontal="left"/>
    </xf>
    <xf numFmtId="0" fontId="2" fillId="2" borderId="0" xfId="0" applyFont="1" applyFill="1"/>
    <xf numFmtId="6" fontId="1" fillId="2" borderId="1" xfId="0" applyNumberFormat="1" applyFont="1" applyFill="1" applyBorder="1"/>
    <xf numFmtId="0" fontId="2" fillId="2" borderId="13" xfId="0" applyFont="1" applyFill="1" applyBorder="1"/>
    <xf numFmtId="6" fontId="2" fillId="2" borderId="13" xfId="0" applyNumberFormat="1" applyFont="1" applyFill="1" applyBorder="1"/>
    <xf numFmtId="6" fontId="1" fillId="2" borderId="12" xfId="0" applyNumberFormat="1" applyFont="1" applyFill="1" applyBorder="1"/>
    <xf numFmtId="6" fontId="1" fillId="2" borderId="8" xfId="0" applyNumberFormat="1" applyFont="1" applyFill="1" applyBorder="1"/>
    <xf numFmtId="6" fontId="1" fillId="2" borderId="2" xfId="0" applyNumberFormat="1" applyFont="1" applyFill="1" applyBorder="1"/>
    <xf numFmtId="0" fontId="3" fillId="2" borderId="13" xfId="0" applyFont="1" applyFill="1" applyBorder="1"/>
    <xf numFmtId="6" fontId="3" fillId="2" borderId="13" xfId="0" applyNumberFormat="1" applyFont="1" applyFill="1" applyBorder="1"/>
    <xf numFmtId="8" fontId="1" fillId="2" borderId="1" xfId="0" applyNumberFormat="1" applyFont="1" applyFill="1" applyBorder="1"/>
    <xf numFmtId="165" fontId="1" fillId="2" borderId="1" xfId="0" applyNumberFormat="1" applyFont="1" applyFill="1" applyBorder="1"/>
    <xf numFmtId="3" fontId="1" fillId="2" borderId="10" xfId="0" applyNumberFormat="1" applyFont="1" applyFill="1" applyBorder="1"/>
    <xf numFmtId="8" fontId="1" fillId="2" borderId="10" xfId="0" applyNumberFormat="1" applyFont="1" applyFill="1" applyBorder="1"/>
    <xf numFmtId="165" fontId="1" fillId="2" borderId="10" xfId="0" applyNumberFormat="1" applyFont="1" applyFill="1" applyBorder="1"/>
    <xf numFmtId="0" fontId="1" fillId="2" borderId="15" xfId="0" applyFont="1" applyFill="1" applyBorder="1"/>
    <xf numFmtId="3" fontId="1" fillId="2" borderId="16" xfId="0" applyNumberFormat="1" applyFont="1" applyFill="1" applyBorder="1"/>
    <xf numFmtId="3" fontId="1" fillId="2" borderId="15" xfId="0" applyNumberFormat="1" applyFont="1" applyFill="1" applyBorder="1"/>
    <xf numFmtId="6" fontId="1" fillId="2" borderId="10" xfId="0" applyNumberFormat="1" applyFont="1" applyFill="1" applyBorder="1"/>
    <xf numFmtId="0" fontId="1" fillId="2" borderId="8" xfId="0" applyFont="1" applyFill="1" applyBorder="1"/>
    <xf numFmtId="8" fontId="3" fillId="2" borderId="13" xfId="0" applyNumberFormat="1" applyFont="1" applyFill="1" applyBorder="1"/>
    <xf numFmtId="8" fontId="2" fillId="2" borderId="14" xfId="0" applyNumberFormat="1" applyFont="1" applyFill="1" applyBorder="1"/>
    <xf numFmtId="0" fontId="1" fillId="2" borderId="12" xfId="0" applyFont="1" applyFill="1" applyBorder="1"/>
    <xf numFmtId="165" fontId="1" fillId="2" borderId="4" xfId="0" applyNumberFormat="1" applyFont="1" applyFill="1" applyBorder="1"/>
    <xf numFmtId="165" fontId="1" fillId="2" borderId="12" xfId="0" applyNumberFormat="1" applyFont="1" applyFill="1" applyBorder="1"/>
    <xf numFmtId="6" fontId="1" fillId="2" borderId="4" xfId="0" applyNumberFormat="1" applyFont="1" applyFill="1" applyBorder="1"/>
    <xf numFmtId="0" fontId="7" fillId="4" borderId="0" xfId="0" applyFont="1" applyFill="1" applyAlignment="1">
      <alignment horizontal="center"/>
    </xf>
    <xf numFmtId="164" fontId="0" fillId="3" borderId="12" xfId="0" applyNumberFormat="1" applyFill="1" applyBorder="1"/>
    <xf numFmtId="0" fontId="2" fillId="2" borderId="7" xfId="0" applyFont="1" applyFill="1" applyBorder="1"/>
    <xf numFmtId="6" fontId="1" fillId="2" borderId="0" xfId="0" applyNumberFormat="1" applyFont="1" applyFill="1" applyBorder="1"/>
    <xf numFmtId="6" fontId="1" fillId="2" borderId="6" xfId="0" applyNumberFormat="1" applyFont="1" applyFill="1" applyBorder="1"/>
    <xf numFmtId="0" fontId="1" fillId="2" borderId="5" xfId="0" applyFont="1" applyFill="1" applyBorder="1" applyAlignment="1">
      <alignment wrapText="1"/>
    </xf>
    <xf numFmtId="2" fontId="1" fillId="2" borderId="0" xfId="0" applyNumberFormat="1" applyFont="1" applyFill="1" applyBorder="1"/>
    <xf numFmtId="2" fontId="1" fillId="2" borderId="6" xfId="0" applyNumberFormat="1" applyFont="1" applyFill="1" applyBorder="1"/>
    <xf numFmtId="0" fontId="1" fillId="2" borderId="7" xfId="0" applyFont="1" applyFill="1" applyBorder="1"/>
    <xf numFmtId="0" fontId="0" fillId="4" borderId="11" xfId="0" applyFill="1" applyBorder="1"/>
    <xf numFmtId="0" fontId="0" fillId="4" borderId="16" xfId="0" applyFill="1" applyBorder="1"/>
    <xf numFmtId="0" fontId="1" fillId="2" borderId="7" xfId="0" applyFont="1" applyFill="1" applyBorder="1" applyAlignment="1">
      <alignment wrapText="1"/>
    </xf>
    <xf numFmtId="6" fontId="1" fillId="2" borderId="11" xfId="0" applyNumberFormat="1" applyFont="1" applyFill="1" applyBorder="1"/>
    <xf numFmtId="6" fontId="1" fillId="2" borderId="16" xfId="0" applyNumberFormat="1" applyFont="1" applyFill="1" applyBorder="1"/>
    <xf numFmtId="0" fontId="1" fillId="2" borderId="0" xfId="0" applyFont="1" applyFill="1" applyBorder="1"/>
    <xf numFmtId="8" fontId="2" fillId="4" borderId="0" xfId="0" applyNumberFormat="1" applyFont="1" applyFill="1" applyBorder="1"/>
    <xf numFmtId="3" fontId="0" fillId="3" borderId="8" xfId="0" applyNumberFormat="1" applyFill="1" applyBorder="1"/>
    <xf numFmtId="0" fontId="1" fillId="2" borderId="5" xfId="0" applyFont="1" applyFill="1" applyBorder="1" applyAlignment="1">
      <alignment vertical="top"/>
    </xf>
    <xf numFmtId="0" fontId="2" fillId="2" borderId="5" xfId="0" applyFont="1" applyFill="1" applyBorder="1"/>
    <xf numFmtId="0" fontId="1" fillId="2" borderId="6" xfId="0" applyFont="1" applyFill="1" applyBorder="1"/>
    <xf numFmtId="0" fontId="2" fillId="2" borderId="17" xfId="0" applyFont="1" applyFill="1" applyBorder="1"/>
    <xf numFmtId="8" fontId="2" fillId="2" borderId="18" xfId="0" applyNumberFormat="1" applyFont="1" applyFill="1" applyBorder="1"/>
    <xf numFmtId="0" fontId="2" fillId="2" borderId="2" xfId="0" applyFont="1" applyFill="1" applyBorder="1"/>
    <xf numFmtId="0" fontId="1" fillId="2" borderId="4" xfId="0" applyFont="1" applyFill="1" applyBorder="1"/>
    <xf numFmtId="8" fontId="1" fillId="2" borderId="16" xfId="0" applyNumberFormat="1" applyFont="1" applyFill="1" applyBorder="1"/>
    <xf numFmtId="8" fontId="1" fillId="2" borderId="15" xfId="0" applyNumberFormat="1" applyFont="1" applyFill="1" applyBorder="1"/>
    <xf numFmtId="0" fontId="3" fillId="2" borderId="2" xfId="0" applyFont="1" applyFill="1" applyBorder="1" applyAlignment="1">
      <alignment horizontal="center"/>
    </xf>
    <xf numFmtId="6" fontId="1" fillId="2" borderId="7" xfId="0" applyNumberFormat="1" applyFont="1" applyFill="1" applyBorder="1"/>
    <xf numFmtId="6" fontId="1" fillId="2" borderId="15" xfId="0" applyNumberFormat="1" applyFont="1" applyFill="1" applyBorder="1"/>
    <xf numFmtId="0" fontId="1" fillId="2" borderId="5" xfId="0" applyFont="1" applyFill="1" applyBorder="1" applyAlignment="1">
      <alignment horizontal="right" vertical="center"/>
    </xf>
    <xf numFmtId="0" fontId="2" fillId="2" borderId="8" xfId="0" applyFont="1" applyFill="1" applyBorder="1" applyAlignment="1">
      <alignment horizontal="left"/>
    </xf>
    <xf numFmtId="6" fontId="2" fillId="2" borderId="1" xfId="0" applyNumberFormat="1" applyFont="1" applyFill="1" applyBorder="1"/>
    <xf numFmtId="0" fontId="0" fillId="4" borderId="7" xfId="0" applyFill="1" applyBorder="1"/>
    <xf numFmtId="0" fontId="8" fillId="2" borderId="5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3" fillId="2" borderId="2" xfId="0" applyFont="1" applyFill="1" applyBorder="1"/>
    <xf numFmtId="0" fontId="3" fillId="2" borderId="3" xfId="0" applyFont="1" applyFill="1" applyBorder="1"/>
    <xf numFmtId="0" fontId="1" fillId="2" borderId="7" xfId="0" applyFont="1" applyFill="1" applyBorder="1" applyAlignment="1">
      <alignment horizontal="right" vertical="center"/>
    </xf>
    <xf numFmtId="0" fontId="1" fillId="2" borderId="11" xfId="0" applyFont="1" applyFill="1" applyBorder="1"/>
    <xf numFmtId="0" fontId="7" fillId="4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9" fillId="4" borderId="0" xfId="0" applyFont="1" applyFill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6" fillId="4" borderId="2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0" fillId="4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 wrapText="1"/>
    </xf>
    <xf numFmtId="0" fontId="0" fillId="3" borderId="7" xfId="0" applyFill="1" applyBorder="1" applyAlignment="1">
      <alignment horizontal="center" wrapText="1"/>
    </xf>
    <xf numFmtId="0" fontId="0" fillId="3" borderId="16" xfId="0" applyFill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19" xfId="0" applyFont="1" applyFill="1" applyBorder="1"/>
    <xf numFmtId="6" fontId="0" fillId="3" borderId="16" xfId="0" applyNumberFormat="1" applyFont="1" applyFill="1" applyBorder="1"/>
    <xf numFmtId="6" fontId="0" fillId="3" borderId="10" xfId="0" applyNumberFormat="1" applyFont="1" applyFill="1" applyBorder="1"/>
    <xf numFmtId="0" fontId="1" fillId="2" borderId="4" xfId="0" applyFont="1" applyFill="1" applyBorder="1" applyAlignment="1">
      <alignment horizontal="right" vertical="center"/>
    </xf>
    <xf numFmtId="0" fontId="1" fillId="2" borderId="16" xfId="0" applyFont="1" applyFill="1" applyBorder="1"/>
    <xf numFmtId="8" fontId="1" fillId="2" borderId="0" xfId="0" applyNumberFormat="1" applyFont="1" applyFill="1"/>
  </cellXfs>
  <cellStyles count="1">
    <cellStyle name="Normal" xfId="0" builtinId="0"/>
  </cellStyles>
  <dxfs count="4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Projected Finances Under New and Existing Rates in the Next 5 Years (2026-2030)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Using Existing Rates</c:v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Revenue_Model!M22:Q22</c:f>
              <c:numCache>
                <c:formatCode>"$"#,##0.00_);[Red]\("$"#,##0.00\)</c:formatCode>
                <c:ptCount val="5"/>
                <c:pt idx="0">
                  <c:v>1566210</c:v>
                </c:pt>
                <c:pt idx="1">
                  <c:v>1582026</c:v>
                </c:pt>
                <c:pt idx="2">
                  <c:v>1597965</c:v>
                </c:pt>
                <c:pt idx="3">
                  <c:v>1614150</c:v>
                </c:pt>
                <c:pt idx="4">
                  <c:v>1630437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60-434C-A755-08C1B12F6173}"/>
            </c:ext>
          </c:extLst>
        </c:ser>
        <c:ser>
          <c:idx val="1"/>
          <c:order val="1"/>
          <c:tx>
            <c:v>Using New Rates</c:v>
          </c:tx>
          <c:spPr>
            <a:solidFill>
              <a:srgbClr val="375623"/>
            </a:solidFill>
            <a:ln>
              <a:noFill/>
            </a:ln>
            <a:effectLst/>
          </c:spPr>
          <c:invertIfNegative val="0"/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Rate_Sufficiency_Analysis!$B$4:$F$4</c:f>
              <c:numCache>
                <c:formatCode>"$"#,##0_);[Red]\("$"#,##0\)</c:formatCode>
                <c:ptCount val="5"/>
                <c:pt idx="0">
                  <c:v>1566210</c:v>
                </c:pt>
                <c:pt idx="1">
                  <c:v>1673640</c:v>
                </c:pt>
                <c:pt idx="2">
                  <c:v>1746384</c:v>
                </c:pt>
                <c:pt idx="3">
                  <c:v>1764054</c:v>
                </c:pt>
                <c:pt idx="4">
                  <c:v>1836894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86756616"/>
        <c:axId val="1447064584"/>
      </c:barChart>
      <c:lineChart>
        <c:grouping val="standard"/>
        <c:varyColors val="0"/>
        <c:ser>
          <c:idx val="2"/>
          <c:order val="2"/>
          <c:tx>
            <c:v>Expenses</c:v>
          </c:tx>
          <c:spPr>
            <a:ln w="28575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Rate_Sufficiency_Analysis!$B$3:$F$3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Rate_Sufficiency_Analysis!$B$5:$F$5</c:f>
              <c:numCache>
                <c:formatCode>"$"#,##0_);[Red]\("$"#,##0\)</c:formatCode>
                <c:ptCount val="5"/>
                <c:pt idx="0">
                  <c:v>1589000</c:v>
                </c:pt>
                <c:pt idx="1">
                  <c:v>1631720</c:v>
                </c:pt>
                <c:pt idx="2">
                  <c:v>1685723</c:v>
                </c:pt>
                <c:pt idx="3">
                  <c:v>1731045</c:v>
                </c:pt>
                <c:pt idx="4">
                  <c:v>1777727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9D7-43B7-9EB1-AA1B551E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6756616"/>
        <c:axId val="1447064584"/>
      </c:lineChart>
      <c:catAx>
        <c:axId val="1586756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64584"/>
        <c:crosses val="autoZero"/>
        <c:auto val="1"/>
        <c:lblAlgn val="ctr"/>
        <c:lblOffset val="100"/>
        <c:noMultiLvlLbl val="0"/>
      </c:catAx>
      <c:valAx>
        <c:axId val="1447064584"/>
        <c:scaling>
          <c:orientation val="minMax"/>
          <c:max val="18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756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666750</xdr:colOff>
      <xdr:row>2</xdr:row>
      <xdr:rowOff>95250</xdr:rowOff>
    </xdr:from>
    <xdr:to>
      <xdr:col>6</xdr:col>
      <xdr:colOff>523875</xdr:colOff>
      <xdr:row>19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A55DC1-E0A5-E535-BF13-A1A65604F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34"/>
  <sheetViews>
    <sheetView tabSelected="1" workbookViewId="0">
      <selection activeCell="B10" sqref="B10"/>
    </sheetView>
  </sheetViews>
  <sheetFormatPr defaultRowHeight="15"/>
  <cols>
    <col min="1" max="2" width="36.5703125" bestFit="1" customWidth="1"/>
    <col min="4" max="4" width="24.42578125" bestFit="1" customWidth="1"/>
    <col min="9" max="9" width="36.5703125" bestFit="1" customWidth="1"/>
    <col min="10" max="10" width="12.5703125" customWidth="1"/>
    <col min="11" max="11" width="10.5703125" bestFit="1" customWidth="1"/>
    <col min="12" max="15" width="8.5703125" customWidth="1"/>
    <col min="16" max="16" width="20" bestFit="1" customWidth="1"/>
    <col min="17" max="17" width="26.85546875" bestFit="1" customWidth="1"/>
    <col min="18" max="18" width="9.42578125" bestFit="1" customWidth="1"/>
    <col min="20" max="20" width="20" bestFit="1" customWidth="1"/>
    <col min="21" max="21" width="9.42578125" bestFit="1" customWidth="1"/>
    <col min="22" max="22" width="20" bestFit="1" customWidth="1"/>
    <col min="23" max="23" width="4.7109375" bestFit="1" customWidth="1"/>
    <col min="24" max="28" width="9.42578125" bestFit="1" customWidth="1"/>
    <col min="36" max="36" width="26.85546875" bestFit="1" customWidth="1"/>
    <col min="37" max="37" width="9.42578125" bestFit="1" customWidth="1"/>
    <col min="39" max="39" width="20" bestFit="1" customWidth="1"/>
    <col min="40" max="40" width="9.42578125" bestFit="1" customWidth="1"/>
    <col min="41" max="41" width="20" bestFit="1" customWidth="1"/>
    <col min="42" max="42" width="4.7109375" bestFit="1" customWidth="1"/>
    <col min="43" max="47" width="9.42578125" bestFit="1" customWidth="1"/>
  </cols>
  <sheetData>
    <row r="1" spans="1:95" ht="21">
      <c r="A1" s="116" t="s">
        <v>0</v>
      </c>
      <c r="B1" s="117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</row>
    <row r="2" spans="1:95">
      <c r="A2" s="118" t="s">
        <v>1</v>
      </c>
      <c r="B2" s="119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</row>
    <row r="3" spans="1:95">
      <c r="A3" s="99"/>
      <c r="B3" s="77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</row>
    <row r="4" spans="1:95">
      <c r="A4" s="120" t="s">
        <v>2</v>
      </c>
      <c r="B4" s="121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</row>
    <row r="5" spans="1:9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</row>
    <row r="6" spans="1:95" ht="15.75">
      <c r="A6" s="25" t="s">
        <v>3</v>
      </c>
      <c r="B6" s="23" t="s">
        <v>4</v>
      </c>
      <c r="C6" s="26"/>
      <c r="D6" s="93" t="s">
        <v>5</v>
      </c>
      <c r="E6" s="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</row>
    <row r="7" spans="1:95" ht="15.75">
      <c r="A7" s="25" t="s">
        <v>6</v>
      </c>
      <c r="B7" s="23">
        <v>10328</v>
      </c>
      <c r="C7" s="26"/>
      <c r="D7" s="4" t="s">
        <v>7</v>
      </c>
      <c r="E7" s="68">
        <v>0.03</v>
      </c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</row>
    <row r="8" spans="1:95" ht="15.75">
      <c r="A8" s="25" t="s">
        <v>8</v>
      </c>
      <c r="B8" s="23">
        <v>3070</v>
      </c>
      <c r="C8" s="26"/>
      <c r="D8" s="5" t="s">
        <v>9</v>
      </c>
      <c r="E8" s="20">
        <v>0.01</v>
      </c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</row>
    <row r="9" spans="1:95" ht="15.75">
      <c r="A9" s="25" t="s">
        <v>10</v>
      </c>
      <c r="B9" s="53">
        <f>SUM(K13:K15,K18:K20) * 12 * 1000</f>
        <v>410100000</v>
      </c>
      <c r="C9" s="26"/>
      <c r="D9" s="69" t="s">
        <v>11</v>
      </c>
      <c r="E9" s="2">
        <v>1.1499999999999999</v>
      </c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</row>
    <row r="10" spans="1:95" ht="32.25" customHeight="1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</row>
    <row r="11" spans="1:95" ht="15" customHeight="1">
      <c r="A11" s="7" t="s">
        <v>12</v>
      </c>
      <c r="B11" s="8" t="s">
        <v>13</v>
      </c>
      <c r="C11" s="10">
        <v>2026</v>
      </c>
      <c r="D11" s="8">
        <f>C11+1</f>
        <v>2027</v>
      </c>
      <c r="E11" s="8">
        <f t="shared" ref="E11:G11" si="0">D11+1</f>
        <v>2028</v>
      </c>
      <c r="F11" s="8">
        <f t="shared" si="0"/>
        <v>2029</v>
      </c>
      <c r="G11" s="9">
        <f t="shared" si="0"/>
        <v>2030</v>
      </c>
      <c r="H11" s="26"/>
      <c r="I11" s="113" t="s">
        <v>14</v>
      </c>
      <c r="J11" s="114"/>
      <c r="K11" s="114"/>
      <c r="L11" s="114"/>
      <c r="M11" s="114"/>
      <c r="N11" s="114"/>
      <c r="O11" s="115"/>
      <c r="P11" s="28"/>
      <c r="Q11" s="35" t="s">
        <v>15</v>
      </c>
      <c r="R11" s="21">
        <v>2026</v>
      </c>
      <c r="S11" s="26"/>
      <c r="T11" s="103" t="s">
        <v>16</v>
      </c>
      <c r="U11" s="126"/>
      <c r="V11" s="104" t="s">
        <v>16</v>
      </c>
      <c r="W11" s="130" t="s">
        <v>17</v>
      </c>
      <c r="X11" s="17">
        <v>2026</v>
      </c>
      <c r="Y11" s="17">
        <f>X11+1</f>
        <v>2027</v>
      </c>
      <c r="Z11" s="17">
        <f>Y11+1</f>
        <v>2028</v>
      </c>
      <c r="AA11" s="17">
        <f>Z11+1</f>
        <v>2029</v>
      </c>
      <c r="AB11" s="90">
        <f>AA11+1</f>
        <v>2030</v>
      </c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</row>
    <row r="12" spans="1:95">
      <c r="A12" s="27"/>
      <c r="B12" s="28"/>
      <c r="C12" s="28"/>
      <c r="D12" s="28"/>
      <c r="E12" s="28"/>
      <c r="F12" s="28"/>
      <c r="G12" s="30"/>
      <c r="H12" s="26"/>
      <c r="I12" s="3" t="s">
        <v>18</v>
      </c>
      <c r="J12" s="81" t="s">
        <v>13</v>
      </c>
      <c r="K12" s="63" cm="1">
        <f t="array" ref="K12">currentyear</f>
        <v>2026</v>
      </c>
      <c r="L12" s="63">
        <f>K12+1</f>
        <v>2027</v>
      </c>
      <c r="M12" s="63">
        <f t="shared" ref="M12:O12" si="1">L12+1</f>
        <v>2028</v>
      </c>
      <c r="N12" s="63">
        <f t="shared" si="1"/>
        <v>2029</v>
      </c>
      <c r="O12" s="63">
        <f t="shared" si="1"/>
        <v>2030</v>
      </c>
      <c r="P12" s="28"/>
      <c r="Q12" s="1" t="s">
        <v>19</v>
      </c>
      <c r="R12" s="36">
        <v>725000</v>
      </c>
      <c r="S12" s="26"/>
      <c r="T12" s="105" t="s">
        <v>17</v>
      </c>
      <c r="U12" s="75"/>
      <c r="V12" s="106"/>
      <c r="W12" s="131"/>
      <c r="X12" s="59">
        <f>U13</f>
        <v>165000</v>
      </c>
      <c r="Y12" s="43">
        <f>U14</f>
        <v>165000</v>
      </c>
      <c r="Z12" s="43">
        <f>U15</f>
        <v>175000</v>
      </c>
      <c r="AA12" s="43">
        <f>U16</f>
        <v>175000</v>
      </c>
      <c r="AB12" s="43">
        <f>U17</f>
        <v>175000</v>
      </c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</row>
    <row r="13" spans="1:95">
      <c r="A13" s="11" t="s">
        <v>18</v>
      </c>
      <c r="B13" s="18"/>
      <c r="C13" s="14"/>
      <c r="D13" s="14"/>
      <c r="E13" s="14"/>
      <c r="F13" s="14"/>
      <c r="G13" s="15"/>
      <c r="H13" s="26"/>
      <c r="I13" s="84" t="str" cm="1">
        <f t="array" ref="I13">rate_structure_1</f>
        <v>Residential water, inside</v>
      </c>
      <c r="J13" s="60" t="s">
        <v>20</v>
      </c>
      <c r="K13" s="34">
        <v>17640</v>
      </c>
      <c r="L13" s="22" cm="1">
        <f t="array" ref="L13">ROUND(K13*(1 + pop_growth_rate),0)</f>
        <v>17816</v>
      </c>
      <c r="M13" s="22" cm="1">
        <f t="array" ref="M13">ROUND(L13*(1 + pop_growth_rate),0)</f>
        <v>17994</v>
      </c>
      <c r="N13" s="22" cm="1">
        <f t="array" ref="N13">ROUND(M13*(1 + pop_growth_rate),0)</f>
        <v>18174</v>
      </c>
      <c r="O13" s="22" cm="1">
        <f t="array" ref="O13">ROUND(N13*(1 + pop_growth_rate),0)</f>
        <v>18356</v>
      </c>
      <c r="P13" s="28"/>
      <c r="Q13" s="1" t="s">
        <v>21</v>
      </c>
      <c r="R13" s="36">
        <v>105000</v>
      </c>
      <c r="S13" s="26"/>
      <c r="T13" s="127">
        <v>2026</v>
      </c>
      <c r="U13" s="128">
        <v>165000</v>
      </c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</row>
    <row r="14" spans="1:95">
      <c r="A14" s="19" t="s">
        <v>22</v>
      </c>
      <c r="B14" s="21" t="s">
        <v>23</v>
      </c>
      <c r="C14" s="38">
        <v>17</v>
      </c>
      <c r="D14" s="39">
        <v>20</v>
      </c>
      <c r="E14" s="38">
        <v>20</v>
      </c>
      <c r="F14" s="38">
        <v>20</v>
      </c>
      <c r="G14" s="38">
        <v>20</v>
      </c>
      <c r="H14" s="26"/>
      <c r="I14" s="3"/>
      <c r="J14" s="60" t="s">
        <v>24</v>
      </c>
      <c r="K14" s="34">
        <v>4410</v>
      </c>
      <c r="L14" s="22" cm="1">
        <f t="array" ref="L14">ROUND(K14*(1 + pop_growth_rate),0)</f>
        <v>4454</v>
      </c>
      <c r="M14" s="22" cm="1">
        <f t="array" ref="M14">ROUND(L14*(1 + pop_growth_rate),0)</f>
        <v>4499</v>
      </c>
      <c r="N14" s="22" cm="1">
        <f t="array" ref="N14">ROUND(M14*(1 + pop_growth_rate),0)</f>
        <v>4544</v>
      </c>
      <c r="O14" s="22" cm="1">
        <f t="array" ref="O14">ROUND(N14*(1 + pop_growth_rate),0)</f>
        <v>4589</v>
      </c>
      <c r="P14" s="28"/>
      <c r="Q14" s="1" t="s">
        <v>25</v>
      </c>
      <c r="R14" s="37">
        <v>50000</v>
      </c>
      <c r="S14" s="26"/>
      <c r="T14" s="127">
        <f>T13+1</f>
        <v>2027</v>
      </c>
      <c r="U14" s="129">
        <v>165000</v>
      </c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</row>
    <row r="15" spans="1:95" ht="30.75">
      <c r="A15" s="3" t="s">
        <v>8</v>
      </c>
      <c r="B15" s="22" t="s">
        <v>26</v>
      </c>
      <c r="C15" s="34">
        <v>2000</v>
      </c>
      <c r="D15" s="40">
        <v>2000</v>
      </c>
      <c r="E15" s="34">
        <v>2000</v>
      </c>
      <c r="F15" s="34">
        <v>2000</v>
      </c>
      <c r="G15" s="34">
        <v>2000</v>
      </c>
      <c r="H15" s="26"/>
      <c r="I15" s="75"/>
      <c r="J15" s="60" t="s">
        <v>27</v>
      </c>
      <c r="K15" s="34">
        <v>630</v>
      </c>
      <c r="L15" s="22" cm="1">
        <f t="array" ref="L15">ROUND(K15*(1 + pop_growth_rate),0)</f>
        <v>636</v>
      </c>
      <c r="M15" s="22" cm="1">
        <f t="array" ref="M15">ROUND(L15*(1 + pop_growth_rate),0)</f>
        <v>642</v>
      </c>
      <c r="N15" s="22" cm="1">
        <f t="array" ref="N15">ROUND(M15*(1 + pop_growth_rate),0)</f>
        <v>648</v>
      </c>
      <c r="O15" s="22" cm="1">
        <f t="array" ref="O15">ROUND(N15*(1 + pop_growth_rate),0)</f>
        <v>654</v>
      </c>
      <c r="P15" s="28"/>
      <c r="Q15" s="1" t="s">
        <v>28</v>
      </c>
      <c r="R15" s="36">
        <v>98000</v>
      </c>
      <c r="S15" s="26"/>
      <c r="T15" s="127">
        <f>T14+1</f>
        <v>2028</v>
      </c>
      <c r="U15" s="129">
        <v>175000</v>
      </c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</row>
    <row r="16" spans="1:95">
      <c r="A16" s="41">
        <v>2520</v>
      </c>
      <c r="B16" s="32"/>
      <c r="C16" s="32"/>
      <c r="D16" s="12"/>
      <c r="E16" s="12"/>
      <c r="F16" s="12"/>
      <c r="G16" s="16"/>
      <c r="H16" s="26"/>
      <c r="I16" s="26"/>
      <c r="J16" s="26"/>
      <c r="K16" s="26"/>
      <c r="L16" s="26"/>
      <c r="M16" s="28"/>
      <c r="N16" s="28"/>
      <c r="O16" s="28"/>
      <c r="P16" s="28"/>
      <c r="Q16" s="1" t="s">
        <v>29</v>
      </c>
      <c r="R16" s="36">
        <v>52000</v>
      </c>
      <c r="S16" s="26"/>
      <c r="T16" s="127">
        <f t="shared" ref="T16:T17" si="2">T15+1</f>
        <v>2029</v>
      </c>
      <c r="U16" s="129">
        <v>175000</v>
      </c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</row>
    <row r="17" spans="1:95">
      <c r="A17" s="31"/>
      <c r="B17" s="32"/>
      <c r="C17" s="32"/>
      <c r="D17" s="12"/>
      <c r="E17" s="12"/>
      <c r="F17" s="12"/>
      <c r="G17" s="16"/>
      <c r="H17" s="26"/>
      <c r="I17" s="126" t="s">
        <v>30</v>
      </c>
      <c r="J17" s="17" t="s">
        <v>13</v>
      </c>
      <c r="K17" s="21" cm="1">
        <f t="array" ref="K17">currentyear</f>
        <v>2026</v>
      </c>
      <c r="L17" s="63">
        <f>K17+1</f>
        <v>2027</v>
      </c>
      <c r="M17" s="63">
        <f t="shared" ref="M17:O17" si="3">L17+1</f>
        <v>2028</v>
      </c>
      <c r="N17" s="63">
        <f t="shared" si="3"/>
        <v>2029</v>
      </c>
      <c r="O17" s="63">
        <f t="shared" si="3"/>
        <v>2030</v>
      </c>
      <c r="P17" s="28"/>
      <c r="Q17" s="1" t="s">
        <v>31</v>
      </c>
      <c r="R17" s="36">
        <v>250000</v>
      </c>
      <c r="S17" s="26"/>
      <c r="T17" s="56">
        <f t="shared" si="2"/>
        <v>2030</v>
      </c>
      <c r="U17" s="129">
        <v>175000</v>
      </c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</row>
    <row r="18" spans="1:95">
      <c r="A18" s="31" t="s">
        <v>32</v>
      </c>
      <c r="B18" s="33"/>
      <c r="C18" s="33"/>
      <c r="D18" s="12"/>
      <c r="E18" s="12"/>
      <c r="F18" s="12"/>
      <c r="G18" s="16"/>
      <c r="H18" s="26"/>
      <c r="I18" s="3" t="str" cm="1">
        <f t="array" ref="I18">rate_structure_2</f>
        <v>Commerical, inside</v>
      </c>
      <c r="J18" s="21" t="s">
        <v>20</v>
      </c>
      <c r="K18" s="83">
        <v>5500</v>
      </c>
      <c r="L18" s="21" cm="1">
        <f t="array" ref="L18">ROUND(K18*(1 + pop_growth_rate),0)</f>
        <v>5555</v>
      </c>
      <c r="M18" s="21" cm="1">
        <f t="array" ref="M18">ROUND(L18*(1 + pop_growth_rate),0)</f>
        <v>5611</v>
      </c>
      <c r="N18" s="21" cm="1">
        <f t="array" ref="N18">ROUND(M18*(1 + pop_growth_rate),0)</f>
        <v>5667</v>
      </c>
      <c r="O18" s="21" cm="1">
        <f t="array" ref="O18">ROUND(N18*(1 + pop_growth_rate),0)</f>
        <v>5724</v>
      </c>
      <c r="P18" s="28"/>
      <c r="Q18" s="1" t="s">
        <v>33</v>
      </c>
      <c r="R18" s="36">
        <v>144000</v>
      </c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</row>
    <row r="19" spans="1:95">
      <c r="A19" s="13">
        <v>3000</v>
      </c>
      <c r="B19" s="21" t="s">
        <v>34</v>
      </c>
      <c r="C19" s="38">
        <v>1.75</v>
      </c>
      <c r="D19" s="39">
        <v>1.5</v>
      </c>
      <c r="E19" s="38">
        <v>1.75</v>
      </c>
      <c r="F19" s="38">
        <v>1.75</v>
      </c>
      <c r="G19" s="38">
        <v>2</v>
      </c>
      <c r="H19" s="26"/>
      <c r="I19" s="3"/>
      <c r="J19" s="21" t="s">
        <v>24</v>
      </c>
      <c r="K19" s="83">
        <v>5000</v>
      </c>
      <c r="L19" s="21" cm="1">
        <f t="array" ref="L19">ROUND(K19*(1 + pop_growth_rate),0)</f>
        <v>5050</v>
      </c>
      <c r="M19" s="21" cm="1">
        <f t="array" ref="M19">ROUND(L19*(1 + pop_growth_rate),0)</f>
        <v>5101</v>
      </c>
      <c r="N19" s="21" cm="1">
        <f t="array" ref="N19">ROUND(M19*(1 + pop_growth_rate),0)</f>
        <v>5152</v>
      </c>
      <c r="O19" s="21" cm="1">
        <f t="array" ref="O19">ROUND(N19*(1 + pop_growth_rate),0)</f>
        <v>5204</v>
      </c>
      <c r="P19" s="28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</row>
    <row r="20" spans="1:95">
      <c r="A20" s="24">
        <v>4000</v>
      </c>
      <c r="B20" s="21" t="s">
        <v>35</v>
      </c>
      <c r="C20" s="38">
        <v>1.75</v>
      </c>
      <c r="D20" s="39">
        <v>2.5</v>
      </c>
      <c r="E20" s="38">
        <v>2.5</v>
      </c>
      <c r="F20" s="38">
        <v>2.5</v>
      </c>
      <c r="G20" s="38">
        <v>2.5</v>
      </c>
      <c r="H20" s="26"/>
      <c r="I20" s="75"/>
      <c r="J20" s="21" t="s">
        <v>27</v>
      </c>
      <c r="K20" s="83">
        <v>995</v>
      </c>
      <c r="L20" s="21" cm="1">
        <f t="array" ref="L20">ROUND(K20*(1 + pop_growth_rate),0)</f>
        <v>1005</v>
      </c>
      <c r="M20" s="21" cm="1">
        <f t="array" ref="M20">ROUND(L20*(1 + pop_growth_rate),0)</f>
        <v>1015</v>
      </c>
      <c r="N20" s="21" cm="1">
        <f t="array" ref="N20">ROUND(M20*(1 + pop_growth_rate),0)</f>
        <v>1025</v>
      </c>
      <c r="O20" s="21" cm="1">
        <f t="array" ref="O20">ROUND(N20*(1 + pop_growth_rate),0)</f>
        <v>1035</v>
      </c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</row>
    <row r="21" spans="1:95">
      <c r="A21" s="24">
        <v>5000</v>
      </c>
      <c r="B21" s="21" t="s">
        <v>36</v>
      </c>
      <c r="C21" s="38">
        <v>1.75</v>
      </c>
      <c r="D21" s="39">
        <v>3.5</v>
      </c>
      <c r="E21" s="38">
        <v>3.75</v>
      </c>
      <c r="F21" s="38">
        <v>3.75</v>
      </c>
      <c r="G21" s="38">
        <v>3.75</v>
      </c>
      <c r="H21" s="26"/>
      <c r="I21" s="26"/>
      <c r="J21" s="111"/>
      <c r="K21" s="111"/>
      <c r="L21" s="111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</row>
    <row r="22" spans="1:95" ht="29.25" customHeight="1">
      <c r="A22" s="26"/>
      <c r="B22" s="26"/>
      <c r="C22" s="26"/>
      <c r="D22" s="26"/>
      <c r="E22" s="26"/>
      <c r="F22" s="26"/>
      <c r="G22" s="26"/>
      <c r="H22" s="26"/>
      <c r="I22" s="26"/>
      <c r="J22" s="112" t="s">
        <v>37</v>
      </c>
      <c r="K22" s="112"/>
      <c r="L22" s="112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</row>
    <row r="23" spans="1:95">
      <c r="A23" s="11" t="s">
        <v>30</v>
      </c>
      <c r="B23" s="17"/>
      <c r="C23" s="14"/>
      <c r="D23" s="14"/>
      <c r="E23" s="14"/>
      <c r="F23" s="14"/>
      <c r="G23" s="15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</row>
    <row r="24" spans="1:95">
      <c r="A24" s="19" t="s">
        <v>38</v>
      </c>
      <c r="B24" s="21" t="s">
        <v>23</v>
      </c>
      <c r="C24" s="38">
        <v>35</v>
      </c>
      <c r="D24" s="39">
        <v>35</v>
      </c>
      <c r="E24" s="38">
        <v>35</v>
      </c>
      <c r="F24" s="38">
        <v>35</v>
      </c>
      <c r="G24" s="38">
        <v>35</v>
      </c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</row>
    <row r="25" spans="1:95" ht="30.75">
      <c r="A25" s="3" t="s">
        <v>8</v>
      </c>
      <c r="B25" s="22" t="s">
        <v>26</v>
      </c>
      <c r="C25" s="2">
        <v>0</v>
      </c>
      <c r="D25" s="23">
        <v>0</v>
      </c>
      <c r="E25" s="2">
        <v>0</v>
      </c>
      <c r="F25" s="2">
        <v>0</v>
      </c>
      <c r="G25" s="2">
        <v>0</v>
      </c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</row>
    <row r="26" spans="1:95">
      <c r="A26" s="41">
        <f>B8-A16</f>
        <v>550</v>
      </c>
      <c r="B26" s="32"/>
      <c r="C26" s="32"/>
      <c r="D26" s="12"/>
      <c r="E26" s="12"/>
      <c r="F26" s="12"/>
      <c r="G26" s="1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</row>
    <row r="27" spans="1:95">
      <c r="A27" s="31"/>
      <c r="B27" s="32"/>
      <c r="C27" s="32"/>
      <c r="D27" s="12"/>
      <c r="E27" s="12"/>
      <c r="F27" s="12"/>
      <c r="G27" s="1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</row>
    <row r="28" spans="1:95">
      <c r="A28" s="31" t="s">
        <v>32</v>
      </c>
      <c r="B28" s="33"/>
      <c r="C28" s="33"/>
      <c r="D28" s="12"/>
      <c r="E28" s="12"/>
      <c r="F28" s="12"/>
      <c r="G28" s="1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</row>
    <row r="29" spans="1:95">
      <c r="A29" s="13">
        <v>5000</v>
      </c>
      <c r="B29" s="21" t="s">
        <v>34</v>
      </c>
      <c r="C29" s="39">
        <v>2.5</v>
      </c>
      <c r="D29" s="38">
        <v>2.5</v>
      </c>
      <c r="E29" s="38">
        <v>2.5</v>
      </c>
      <c r="F29" s="38">
        <v>2.5</v>
      </c>
      <c r="G29" s="38">
        <v>2.5</v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</row>
    <row r="30" spans="1:95">
      <c r="A30" s="24">
        <v>10000</v>
      </c>
      <c r="B30" s="21" t="s">
        <v>35</v>
      </c>
      <c r="C30" s="39">
        <v>2.5</v>
      </c>
      <c r="D30" s="38">
        <v>2.5</v>
      </c>
      <c r="E30" s="38">
        <v>2.5</v>
      </c>
      <c r="F30" s="38">
        <v>2.5</v>
      </c>
      <c r="G30" s="38">
        <v>2.5</v>
      </c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</row>
    <row r="31" spans="1:95">
      <c r="A31" s="24">
        <v>15000</v>
      </c>
      <c r="B31" s="21" t="s">
        <v>36</v>
      </c>
      <c r="C31" s="39">
        <v>2.5</v>
      </c>
      <c r="D31" s="38">
        <v>2.5</v>
      </c>
      <c r="E31" s="38">
        <v>2.5</v>
      </c>
      <c r="F31" s="38">
        <v>2.5</v>
      </c>
      <c r="G31" s="38">
        <v>2.5</v>
      </c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</row>
    <row r="32" spans="1:9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</row>
    <row r="33" spans="1:12">
      <c r="A33" s="29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</row>
    <row r="34" spans="1:12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</row>
  </sheetData>
  <mergeCells count="6">
    <mergeCell ref="J21:L21"/>
    <mergeCell ref="J22:L22"/>
    <mergeCell ref="I11:O11"/>
    <mergeCell ref="A1:B1"/>
    <mergeCell ref="A2:B2"/>
    <mergeCell ref="A4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B75A-D480-4707-899D-4BDE57EE180A}">
  <dimension ref="A1:U28"/>
  <sheetViews>
    <sheetView workbookViewId="0">
      <selection activeCell="M5" sqref="M5"/>
    </sheetView>
  </sheetViews>
  <sheetFormatPr defaultRowHeight="15"/>
  <cols>
    <col min="1" max="1" width="36.5703125" bestFit="1" customWidth="1"/>
  </cols>
  <sheetData>
    <row r="1" spans="1:21" ht="30.75" customHeight="1">
      <c r="A1" s="122" t="s">
        <v>39</v>
      </c>
      <c r="B1" s="122"/>
      <c r="C1" s="122"/>
      <c r="D1" s="122"/>
      <c r="E1" s="122"/>
      <c r="F1" s="122"/>
      <c r="G1" s="122"/>
      <c r="H1" s="122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</row>
    <row r="2" spans="1:2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</row>
    <row r="3" spans="1:2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</row>
    <row r="4" spans="1:2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</row>
    <row r="5" spans="1:2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spans="1:2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</row>
    <row r="7" spans="1:2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</row>
    <row r="8" spans="1:21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</row>
    <row r="9" spans="1:2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</row>
    <row r="10" spans="1:21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</row>
    <row r="11" spans="1:2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</row>
    <row r="12" spans="1:21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</row>
    <row r="13" spans="1:21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</row>
    <row r="14" spans="1:21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</row>
    <row r="15" spans="1:2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</row>
    <row r="16" spans="1:21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</row>
    <row r="17" spans="1:21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</row>
    <row r="18" spans="1:2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</row>
    <row r="19" spans="1:2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</row>
    <row r="20" spans="1:2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</row>
    <row r="21" spans="1: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</row>
    <row r="22" spans="1:2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</row>
    <row r="23" spans="1:2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</row>
    <row r="24" spans="1:2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</row>
    <row r="25" spans="1:2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</row>
    <row r="26" spans="1:2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</row>
    <row r="27" spans="1:2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</row>
    <row r="28" spans="1:2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</row>
  </sheetData>
  <sheetProtection sheet="1" objects="1" scenarios="1"/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50A9-0884-44AC-8AA5-5AA892507CF5}">
  <dimension ref="A1:BG38"/>
  <sheetViews>
    <sheetView workbookViewId="0">
      <selection activeCell="M7" sqref="M7"/>
    </sheetView>
  </sheetViews>
  <sheetFormatPr defaultRowHeight="15"/>
  <cols>
    <col min="1" max="1" width="30" bestFit="1" customWidth="1"/>
    <col min="2" max="6" width="14.7109375" bestFit="1" customWidth="1"/>
    <col min="12" max="12" width="24.5703125" bestFit="1" customWidth="1"/>
    <col min="13" max="17" width="14.7109375" bestFit="1" customWidth="1"/>
    <col min="25" max="29" width="13.85546875" bestFit="1" customWidth="1"/>
  </cols>
  <sheetData>
    <row r="1" spans="1:59" ht="18.75">
      <c r="A1" s="107" t="s">
        <v>40</v>
      </c>
      <c r="B1" s="107"/>
      <c r="C1" s="107"/>
      <c r="D1" s="107"/>
      <c r="E1" s="107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</row>
    <row r="2" spans="1:59" ht="18.7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123" t="s">
        <v>41</v>
      </c>
      <c r="M2" s="124"/>
      <c r="N2" s="124"/>
      <c r="O2" s="124"/>
      <c r="P2" s="124"/>
      <c r="Q2" s="125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</row>
    <row r="3" spans="1:59" ht="18.75">
      <c r="A3" s="123" t="s">
        <v>42</v>
      </c>
      <c r="B3" s="124"/>
      <c r="C3" s="124"/>
      <c r="D3" s="124"/>
      <c r="E3" s="124"/>
      <c r="F3" s="125"/>
      <c r="G3" s="26"/>
      <c r="H3" s="26"/>
      <c r="I3" s="26"/>
      <c r="J3" s="26"/>
      <c r="K3" s="26"/>
      <c r="L3" s="100"/>
      <c r="M3" s="101"/>
      <c r="N3" s="101"/>
      <c r="O3" s="101"/>
      <c r="P3" s="101"/>
      <c r="Q3" s="102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</row>
    <row r="4" spans="1:59">
      <c r="A4" s="85" t="s">
        <v>18</v>
      </c>
      <c r="B4" s="81"/>
      <c r="C4" s="81"/>
      <c r="D4" s="81"/>
      <c r="E4" s="81"/>
      <c r="F4" s="86"/>
      <c r="G4" s="26"/>
      <c r="H4" s="26"/>
      <c r="I4" s="26"/>
      <c r="J4" s="26"/>
      <c r="K4" s="26"/>
      <c r="L4" s="85" t="s">
        <v>18</v>
      </c>
      <c r="M4" s="81"/>
      <c r="N4" s="81"/>
      <c r="O4" s="81"/>
      <c r="P4" s="81"/>
      <c r="Q4" s="86"/>
      <c r="R4" s="26"/>
      <c r="S4" s="26"/>
      <c r="T4" s="26"/>
      <c r="U4" s="26"/>
      <c r="V4" s="26"/>
      <c r="W4" s="26"/>
      <c r="X4" s="26"/>
      <c r="Y4" s="82"/>
      <c r="Z4" s="82">
        <f t="shared" ref="Z4:AC4" si="0">$B$22</f>
        <v>1566210</v>
      </c>
      <c r="AA4" s="82">
        <f t="shared" si="0"/>
        <v>1566210</v>
      </c>
      <c r="AB4" s="82">
        <f t="shared" si="0"/>
        <v>1566210</v>
      </c>
      <c r="AC4" s="82">
        <f t="shared" si="0"/>
        <v>1566210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</row>
    <row r="5" spans="1:59">
      <c r="A5" s="60" t="s">
        <v>17</v>
      </c>
      <c r="B5" s="21" cm="1">
        <f t="array" ref="B5">currentyear</f>
        <v>2026</v>
      </c>
      <c r="C5" s="21">
        <f>B5+1</f>
        <v>2027</v>
      </c>
      <c r="D5" s="21">
        <f t="shared" ref="D5:F5" si="1">C5+1</f>
        <v>2028</v>
      </c>
      <c r="E5" s="21">
        <f t="shared" si="1"/>
        <v>2029</v>
      </c>
      <c r="F5" s="21">
        <f t="shared" si="1"/>
        <v>2030</v>
      </c>
      <c r="G5" s="26"/>
      <c r="H5" s="26"/>
      <c r="I5" s="26"/>
      <c r="J5" s="26"/>
      <c r="K5" s="26"/>
      <c r="L5" s="60" t="s">
        <v>17</v>
      </c>
      <c r="M5" s="21" cm="1">
        <f t="array" ref="M5">currentyear</f>
        <v>2026</v>
      </c>
      <c r="N5" s="21">
        <f>M5+1</f>
        <v>2027</v>
      </c>
      <c r="O5" s="21">
        <f t="shared" ref="O5:Q5" si="2">N5+1</f>
        <v>2028</v>
      </c>
      <c r="P5" s="21">
        <f t="shared" si="2"/>
        <v>2029</v>
      </c>
      <c r="Q5" s="21">
        <f t="shared" si="2"/>
        <v>2030</v>
      </c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</row>
    <row r="6" spans="1:59">
      <c r="A6" s="21" t="s">
        <v>43</v>
      </c>
      <c r="B6" s="57" cm="1">
        <f t="array" ref="B6">num_accountsRS1</f>
        <v>2520</v>
      </c>
      <c r="C6" s="58" cm="1">
        <f t="array" ref="C6">ROUND(B6*(1+pop_growth_rate),0)</f>
        <v>2545</v>
      </c>
      <c r="D6" s="58" cm="1">
        <f t="array" ref="D6">ROUND(C6*(1+pop_growth_rate),0)</f>
        <v>2570</v>
      </c>
      <c r="E6" s="58" cm="1">
        <f t="array" ref="E6">ROUND(D6*(1+pop_growth_rate),0)</f>
        <v>2596</v>
      </c>
      <c r="F6" s="58" cm="1">
        <f t="array" ref="F6">ROUND(E6*(1+pop_growth_rate),0)</f>
        <v>2622</v>
      </c>
      <c r="G6" s="26"/>
      <c r="H6" s="26"/>
      <c r="I6" s="26"/>
      <c r="J6" s="26"/>
      <c r="K6" s="26"/>
      <c r="L6" s="21" t="s">
        <v>43</v>
      </c>
      <c r="M6" s="57" cm="1">
        <f t="array" ref="M6">num_accountsRS1</f>
        <v>2520</v>
      </c>
      <c r="N6" s="58" cm="1">
        <f t="array" ref="N6">ROUND(M6 * (1+pop_growth_rate),0)</f>
        <v>2545</v>
      </c>
      <c r="O6" s="58" cm="1">
        <f t="array" ref="O6">ROUND(N6 * (1+pop_growth_rate),0)</f>
        <v>2570</v>
      </c>
      <c r="P6" s="58" cm="1">
        <f t="array" ref="P6">ROUND(O6 * (1+pop_growth_rate),0)</f>
        <v>2596</v>
      </c>
      <c r="Q6" s="58" cm="1">
        <f t="array" ref="Q6">ROUND(P6 * (1+pop_growth_rate),0)</f>
        <v>2622</v>
      </c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</row>
    <row r="7" spans="1:59">
      <c r="A7" s="21" t="s">
        <v>44</v>
      </c>
      <c r="B7" s="54" cm="1">
        <f t="array" ref="B7:F7">base_chargeRS1 * 12 * RS1_num_accounts</f>
        <v>514080</v>
      </c>
      <c r="C7" s="51">
        <v>610800</v>
      </c>
      <c r="D7" s="51">
        <v>616800</v>
      </c>
      <c r="E7" s="51">
        <v>623040</v>
      </c>
      <c r="F7" s="51">
        <v>629280</v>
      </c>
      <c r="G7" s="26"/>
      <c r="H7" s="26"/>
      <c r="I7" s="26"/>
      <c r="J7" s="26"/>
      <c r="K7" s="26"/>
      <c r="L7" s="56" t="s">
        <v>44</v>
      </c>
      <c r="M7" s="91" cm="1">
        <f t="array" ref="M7:Q7">RS1_base_charge2026 * 12 * RS1_num_accounts</f>
        <v>514080</v>
      </c>
      <c r="N7" s="92">
        <v>519180</v>
      </c>
      <c r="O7" s="92">
        <v>524280</v>
      </c>
      <c r="P7" s="92">
        <v>529584</v>
      </c>
      <c r="Q7" s="92">
        <v>534888</v>
      </c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</row>
    <row r="8" spans="1:59">
      <c r="A8" s="21" t="s">
        <v>45</v>
      </c>
      <c r="B8" s="59" cm="1">
        <f t="array" ref="B8:B10">RS1_block_consumption2026 * RS1_vrates2026 *12</f>
        <v>370440</v>
      </c>
      <c r="C8" s="43" cm="1">
        <f t="array" ref="C8:C10">RS1_block_consumption2027 * RS1_vrates2027 *12</f>
        <v>320688</v>
      </c>
      <c r="D8" s="43" cm="1">
        <f t="array" ref="D8:D10">RS1_block_consumption2028 * RS1_vrates2028 *12</f>
        <v>377874</v>
      </c>
      <c r="E8" s="43" cm="1">
        <f t="array" ref="E8:E10">RS1_block_consumption2029 * RS1_vrates2029 *12</f>
        <v>381654</v>
      </c>
      <c r="F8" s="43" cm="1">
        <f t="array" ref="F8:F10">RS1_block_consumption2030 * RS1_vrates2030 *12</f>
        <v>440544</v>
      </c>
      <c r="G8" s="26"/>
      <c r="H8" s="26"/>
      <c r="I8" s="26"/>
      <c r="J8" s="26"/>
      <c r="K8" s="26"/>
      <c r="L8" s="21" t="s">
        <v>45</v>
      </c>
      <c r="M8" s="59" cm="1">
        <f t="array" ref="M8:M10">RS1_block_consumption2026 * RS1_vrates2026 *12</f>
        <v>370440</v>
      </c>
      <c r="N8" s="59" cm="1">
        <f t="array" ref="N8:N10">RS1_block_consumption2027 * RS1_vrates2026 *12</f>
        <v>374136</v>
      </c>
      <c r="O8" s="59" cm="1">
        <f t="array" ref="O8:O10">RS1_block_consumption2028 * RS1_vrates2026 *12</f>
        <v>377874</v>
      </c>
      <c r="P8" s="59" cm="1">
        <f t="array" ref="P8:P10">RS1_block_consumption2029 * RS1_vrates2026 *12</f>
        <v>381654</v>
      </c>
      <c r="Q8" s="59" cm="1">
        <f t="array" ref="Q8:Q10">RS1_block_consumption2030 * RS1_vrates2026 *12</f>
        <v>385476</v>
      </c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</row>
    <row r="9" spans="1:59">
      <c r="A9" s="21" t="s">
        <v>46</v>
      </c>
      <c r="B9" s="59">
        <v>92610</v>
      </c>
      <c r="C9" s="43">
        <v>133620</v>
      </c>
      <c r="D9" s="43">
        <v>134970</v>
      </c>
      <c r="E9" s="43">
        <v>136320</v>
      </c>
      <c r="F9" s="43">
        <v>137670</v>
      </c>
      <c r="G9" s="26"/>
      <c r="H9" s="26"/>
      <c r="I9" s="26"/>
      <c r="J9" s="26"/>
      <c r="K9" s="26"/>
      <c r="L9" s="21" t="s">
        <v>46</v>
      </c>
      <c r="M9" s="59">
        <v>92610</v>
      </c>
      <c r="N9" s="59">
        <v>93534</v>
      </c>
      <c r="O9" s="59">
        <v>94479</v>
      </c>
      <c r="P9" s="59">
        <v>95424</v>
      </c>
      <c r="Q9" s="59">
        <v>96369</v>
      </c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</row>
    <row r="10" spans="1:59">
      <c r="A10" s="21" t="s">
        <v>47</v>
      </c>
      <c r="B10" s="59">
        <v>13230</v>
      </c>
      <c r="C10" s="43">
        <v>26712</v>
      </c>
      <c r="D10" s="43">
        <v>28890</v>
      </c>
      <c r="E10" s="43">
        <v>29160</v>
      </c>
      <c r="F10" s="43">
        <v>29430</v>
      </c>
      <c r="G10" s="26"/>
      <c r="H10" s="26"/>
      <c r="I10" s="26"/>
      <c r="J10" s="26"/>
      <c r="K10" s="26"/>
      <c r="L10" s="63" t="s">
        <v>47</v>
      </c>
      <c r="M10" s="66">
        <v>13230</v>
      </c>
      <c r="N10" s="66">
        <v>13356</v>
      </c>
      <c r="O10" s="66">
        <v>13482</v>
      </c>
      <c r="P10" s="66">
        <v>13608</v>
      </c>
      <c r="Q10" s="66">
        <v>13734</v>
      </c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</row>
    <row r="11" spans="1:59">
      <c r="A11" s="87" t="s">
        <v>48</v>
      </c>
      <c r="B11" s="88">
        <f>SUM(B7:B10)</f>
        <v>990360</v>
      </c>
      <c r="C11" s="88">
        <f t="shared" ref="C11:F11" si="3">SUM(C7:C10)</f>
        <v>1091820</v>
      </c>
      <c r="D11" s="88">
        <f t="shared" si="3"/>
        <v>1158534</v>
      </c>
      <c r="E11" s="88">
        <f t="shared" si="3"/>
        <v>1170174</v>
      </c>
      <c r="F11" s="88">
        <f t="shared" si="3"/>
        <v>1236924</v>
      </c>
      <c r="G11" s="26"/>
      <c r="H11" s="26"/>
      <c r="I11" s="26"/>
      <c r="J11" s="26"/>
      <c r="K11" s="26"/>
      <c r="L11" s="44" t="s">
        <v>48</v>
      </c>
      <c r="M11" s="62">
        <f>SUM(M7:M10)</f>
        <v>990360</v>
      </c>
      <c r="N11" s="62">
        <f t="shared" ref="N11" si="4">SUM(N7:N10)</f>
        <v>1000206</v>
      </c>
      <c r="O11" s="62">
        <f t="shared" ref="O11" si="5">SUM(O7:O10)</f>
        <v>1010115</v>
      </c>
      <c r="P11" s="62">
        <f t="shared" ref="P11" si="6">SUM(P7:P10)</f>
        <v>1020270</v>
      </c>
      <c r="Q11" s="62">
        <f t="shared" ref="Q11" si="7">SUM(Q7:Q10)</f>
        <v>1030467</v>
      </c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</row>
    <row r="12" spans="1:59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</row>
    <row r="13" spans="1:59">
      <c r="A13" s="89" t="s">
        <v>30</v>
      </c>
      <c r="B13" s="17"/>
      <c r="C13" s="17"/>
      <c r="D13" s="17"/>
      <c r="E13" s="17"/>
      <c r="F13" s="90"/>
      <c r="G13" s="26"/>
      <c r="H13" s="26"/>
      <c r="I13" s="26"/>
      <c r="J13" s="26"/>
      <c r="K13" s="26"/>
      <c r="L13" s="42" t="s">
        <v>30</v>
      </c>
      <c r="M13" s="1"/>
      <c r="N13" s="1"/>
      <c r="O13" s="1"/>
      <c r="P13" s="1"/>
      <c r="Q13" s="1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</row>
    <row r="14" spans="1:59">
      <c r="A14" s="21" t="s">
        <v>17</v>
      </c>
      <c r="B14" s="21" cm="1">
        <f t="array" ref="B14">currentyear</f>
        <v>2026</v>
      </c>
      <c r="C14" s="21">
        <f>B14+1</f>
        <v>2027</v>
      </c>
      <c r="D14" s="21">
        <f t="shared" ref="D14:F14" si="8">C14+1</f>
        <v>2028</v>
      </c>
      <c r="E14" s="21">
        <f t="shared" si="8"/>
        <v>2029</v>
      </c>
      <c r="F14" s="21">
        <f t="shared" si="8"/>
        <v>2030</v>
      </c>
      <c r="G14" s="26"/>
      <c r="H14" s="26"/>
      <c r="I14" s="26"/>
      <c r="J14" s="26"/>
      <c r="K14" s="26"/>
      <c r="L14" s="21" t="s">
        <v>17</v>
      </c>
      <c r="M14" s="21" cm="1">
        <f t="array" ref="M14">currentyear</f>
        <v>2026</v>
      </c>
      <c r="N14" s="21">
        <f>M14+1</f>
        <v>2027</v>
      </c>
      <c r="O14" s="21">
        <f t="shared" ref="O14:Q14" si="9">N14+1</f>
        <v>2028</v>
      </c>
      <c r="P14" s="21">
        <f t="shared" si="9"/>
        <v>2029</v>
      </c>
      <c r="Q14" s="21">
        <f t="shared" si="9"/>
        <v>2030</v>
      </c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</row>
    <row r="15" spans="1:59">
      <c r="A15" s="56" t="s">
        <v>43</v>
      </c>
      <c r="B15" s="57" cm="1">
        <f t="array" ref="B15">num_accountsRS2</f>
        <v>550</v>
      </c>
      <c r="C15" s="58" cm="1">
        <f t="array" ref="C15">ROUND(B15*(1+pop_growth_rate),0)</f>
        <v>556</v>
      </c>
      <c r="D15" s="58" cm="1">
        <f t="array" ref="D15">ROUND(C15*(1+pop_growth_rate),0)</f>
        <v>562</v>
      </c>
      <c r="E15" s="58" cm="1">
        <f t="array" ref="E15">ROUND(D15*(1+pop_growth_rate),0)</f>
        <v>568</v>
      </c>
      <c r="F15" s="58" cm="1">
        <f t="array" ref="F15">ROUND(E15*(1+pop_growth_rate),0)</f>
        <v>574</v>
      </c>
      <c r="G15" s="26"/>
      <c r="H15" s="26"/>
      <c r="I15" s="26"/>
      <c r="J15" s="26"/>
      <c r="K15" s="26"/>
      <c r="L15" s="56" t="s">
        <v>43</v>
      </c>
      <c r="M15" s="57" cm="1">
        <f t="array" ref="M15">num_accountsRS2</f>
        <v>550</v>
      </c>
      <c r="N15" s="58" cm="1">
        <f t="array" ref="N15">ROUND(M15*(1+pop_growth_rate),0)</f>
        <v>556</v>
      </c>
      <c r="O15" s="58" cm="1">
        <f t="array" ref="O15">ROUND(N15*(1+pop_growth_rate),0)</f>
        <v>562</v>
      </c>
      <c r="P15" s="58" cm="1">
        <f t="array" ref="P15">ROUND(O15*(1+pop_growth_rate),0)</f>
        <v>568</v>
      </c>
      <c r="Q15" s="58" cm="1">
        <f t="array" ref="Q15">ROUND(P15*(1+pop_growth_rate),0)</f>
        <v>574</v>
      </c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</row>
    <row r="16" spans="1:59">
      <c r="A16" s="56" t="s">
        <v>44</v>
      </c>
      <c r="B16" s="91" cm="1">
        <f t="array" ref="B16:F16">base_chargeRS2 * 12 * RS2_num_accounts</f>
        <v>231000</v>
      </c>
      <c r="C16" s="92">
        <v>233520</v>
      </c>
      <c r="D16" s="92">
        <v>236040</v>
      </c>
      <c r="E16" s="92">
        <v>238560</v>
      </c>
      <c r="F16" s="92">
        <v>241080</v>
      </c>
      <c r="G16" s="26"/>
      <c r="H16" s="26"/>
      <c r="I16" s="26"/>
      <c r="J16" s="26"/>
      <c r="K16" s="26"/>
      <c r="L16" s="21" t="s">
        <v>44</v>
      </c>
      <c r="M16" s="54" cm="1">
        <f t="array" ref="M16:Q16">RS2_base_charge2026 * 12 * RS2_num_accounts</f>
        <v>231000</v>
      </c>
      <c r="N16" s="51">
        <v>233520</v>
      </c>
      <c r="O16" s="51">
        <v>236040</v>
      </c>
      <c r="P16" s="51">
        <v>238560</v>
      </c>
      <c r="Q16" s="51">
        <v>241080</v>
      </c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</row>
    <row r="17" spans="1:59">
      <c r="A17" s="21" t="s">
        <v>45</v>
      </c>
      <c r="B17" s="55" cm="1">
        <f t="array" ref="B17:B19">RS2_block_consumption2026 * RS2_vrates2026 *12</f>
        <v>165000</v>
      </c>
      <c r="C17" s="52" cm="1">
        <f t="array" ref="C17:C19">RS2_block_consumption2027 * RS2_vrates2027 *12</f>
        <v>166650</v>
      </c>
      <c r="D17" s="52" cm="1">
        <f t="array" ref="D17:D19">RS2_block_consumption2028 * RS2_vrates2028 *12</f>
        <v>168330</v>
      </c>
      <c r="E17" s="52" cm="1">
        <f t="array" ref="E17:E19">RS2_block_consumption2029 * RS2_vrates2029 *12</f>
        <v>170010</v>
      </c>
      <c r="F17" s="52" cm="1">
        <f t="array" ref="F17:F19">RS2_block_consumption2030 * RS2_vrates2030 *12</f>
        <v>171720</v>
      </c>
      <c r="G17" s="26"/>
      <c r="H17" s="26"/>
      <c r="I17" s="26"/>
      <c r="J17" s="26"/>
      <c r="K17" s="26"/>
      <c r="L17" s="21" t="s">
        <v>45</v>
      </c>
      <c r="M17" s="55" cm="1">
        <f t="array" ref="M17:M19">RS2_block_consumption2026 * RS2_vrates2026 *12</f>
        <v>165000</v>
      </c>
      <c r="N17" s="55" cm="1">
        <f t="array" ref="N17:N19">RS2_block_consumption2027 * RS2_vrates2026 *12</f>
        <v>166650</v>
      </c>
      <c r="O17" s="55" cm="1">
        <f t="array" ref="O17:O19">RS2_block_consumption2028 * RS2_vrates2026 *12</f>
        <v>168330</v>
      </c>
      <c r="P17" s="55" cm="1">
        <f t="array" ref="P17:P19">RS2_block_consumption2029 * RS2_vrates2026 *12</f>
        <v>170010</v>
      </c>
      <c r="Q17" s="55" cm="1">
        <f t="array" ref="Q17:Q19">RS2_block_consumption2030 * RS2_vrates2026 *12</f>
        <v>171720</v>
      </c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</row>
    <row r="18" spans="1:59">
      <c r="A18" s="21" t="s">
        <v>46</v>
      </c>
      <c r="B18" s="55">
        <v>150000</v>
      </c>
      <c r="C18" s="52">
        <v>151500</v>
      </c>
      <c r="D18" s="52">
        <v>153030</v>
      </c>
      <c r="E18" s="52">
        <v>154560</v>
      </c>
      <c r="F18" s="52">
        <v>156120</v>
      </c>
      <c r="G18" s="26"/>
      <c r="H18" s="26"/>
      <c r="I18" s="26"/>
      <c r="J18" s="26"/>
      <c r="K18" s="26"/>
      <c r="L18" s="21" t="s">
        <v>46</v>
      </c>
      <c r="M18" s="55">
        <v>150000</v>
      </c>
      <c r="N18" s="55">
        <v>151500</v>
      </c>
      <c r="O18" s="55">
        <v>153030</v>
      </c>
      <c r="P18" s="55">
        <v>154560</v>
      </c>
      <c r="Q18" s="55">
        <v>156120</v>
      </c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</row>
    <row r="19" spans="1:59">
      <c r="A19" s="63" t="s">
        <v>47</v>
      </c>
      <c r="B19" s="64">
        <v>29850</v>
      </c>
      <c r="C19" s="65">
        <v>30150</v>
      </c>
      <c r="D19" s="65">
        <v>30450</v>
      </c>
      <c r="E19" s="65">
        <v>30750</v>
      </c>
      <c r="F19" s="65">
        <v>31050</v>
      </c>
      <c r="G19" s="26"/>
      <c r="H19" s="26"/>
      <c r="I19" s="26"/>
      <c r="J19" s="26"/>
      <c r="K19" s="26"/>
      <c r="L19" s="63" t="s">
        <v>47</v>
      </c>
      <c r="M19" s="64">
        <v>29850</v>
      </c>
      <c r="N19" s="64">
        <v>30150</v>
      </c>
      <c r="O19" s="64">
        <v>30450</v>
      </c>
      <c r="P19" s="64">
        <v>30750</v>
      </c>
      <c r="Q19" s="64">
        <v>31050</v>
      </c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</row>
    <row r="20" spans="1:59">
      <c r="A20" s="44" t="s">
        <v>49</v>
      </c>
      <c r="B20" s="62">
        <f>SUM(B16:B19)</f>
        <v>575850</v>
      </c>
      <c r="C20" s="62">
        <f t="shared" ref="C20:F20" si="10">SUM(C16:C19)</f>
        <v>581820</v>
      </c>
      <c r="D20" s="62">
        <f t="shared" si="10"/>
        <v>587850</v>
      </c>
      <c r="E20" s="62">
        <f t="shared" si="10"/>
        <v>593880</v>
      </c>
      <c r="F20" s="62">
        <f t="shared" si="10"/>
        <v>599970</v>
      </c>
      <c r="G20" s="26"/>
      <c r="H20" s="26"/>
      <c r="I20" s="26"/>
      <c r="J20" s="26"/>
      <c r="K20" s="26"/>
      <c r="L20" s="44" t="s">
        <v>49</v>
      </c>
      <c r="M20" s="62">
        <f>SUM(M16:M19)</f>
        <v>575850</v>
      </c>
      <c r="N20" s="62">
        <f t="shared" ref="N20" si="11">SUM(N16:N19)</f>
        <v>581820</v>
      </c>
      <c r="O20" s="62">
        <f t="shared" ref="O20" si="12">SUM(O16:O19)</f>
        <v>587850</v>
      </c>
      <c r="P20" s="62">
        <f t="shared" ref="P20" si="13">SUM(P16:P19)</f>
        <v>593880</v>
      </c>
      <c r="Q20" s="62">
        <f t="shared" ref="Q20" si="14">SUM(Q16:Q19)</f>
        <v>599970</v>
      </c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</row>
    <row r="21" spans="1:59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</row>
    <row r="22" spans="1:59" ht="15.75">
      <c r="A22" s="49" t="s">
        <v>50</v>
      </c>
      <c r="B22" s="61">
        <f>SUM(B20+B11)</f>
        <v>1566210</v>
      </c>
      <c r="C22" s="61">
        <f t="shared" ref="C22:F22" si="15">SUM(C20+C11)</f>
        <v>1673640</v>
      </c>
      <c r="D22" s="61">
        <f t="shared" si="15"/>
        <v>1746384</v>
      </c>
      <c r="E22" s="61">
        <f t="shared" si="15"/>
        <v>1764054</v>
      </c>
      <c r="F22" s="61">
        <f t="shared" si="15"/>
        <v>1836894</v>
      </c>
      <c r="G22" s="26"/>
      <c r="H22" s="26"/>
      <c r="I22" s="26"/>
      <c r="J22" s="26"/>
      <c r="K22" s="26"/>
      <c r="L22" s="49" t="s">
        <v>50</v>
      </c>
      <c r="M22" s="61">
        <f>SUM(M20+M11)</f>
        <v>1566210</v>
      </c>
      <c r="N22" s="61">
        <f t="shared" ref="N22:Q22" si="16">SUM(N20+N11)</f>
        <v>1582026</v>
      </c>
      <c r="O22" s="61">
        <f t="shared" si="16"/>
        <v>1597965</v>
      </c>
      <c r="P22" s="61">
        <f t="shared" si="16"/>
        <v>1614150</v>
      </c>
      <c r="Q22" s="61">
        <f t="shared" si="16"/>
        <v>1630437</v>
      </c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</row>
    <row r="23" spans="1:59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</row>
    <row r="24" spans="1:59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</row>
    <row r="25" spans="1:59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 spans="1:59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 spans="1:59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</row>
    <row r="28" spans="1:59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</row>
    <row r="29" spans="1:5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</row>
    <row r="30" spans="1:59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</row>
    <row r="31" spans="1:59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</row>
    <row r="32" spans="1:59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</row>
    <row r="33" spans="1:12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</row>
    <row r="34" spans="1:12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</row>
    <row r="35" spans="1:12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</row>
    <row r="36" spans="1:12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</row>
    <row r="37" spans="1:12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</row>
    <row r="38" spans="1:12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</row>
  </sheetData>
  <sheetProtection sheet="1" objects="1" scenarios="1"/>
  <mergeCells count="3">
    <mergeCell ref="A1:E1"/>
    <mergeCell ref="L2:Q2"/>
    <mergeCell ref="A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4F15-E799-41AA-BBC0-A7B3D8B94A35}">
  <dimension ref="A1:Q33"/>
  <sheetViews>
    <sheetView workbookViewId="0">
      <selection activeCell="C18" sqref="C18"/>
    </sheetView>
  </sheetViews>
  <sheetFormatPr defaultRowHeight="15"/>
  <cols>
    <col min="1" max="1" width="30.5703125" bestFit="1" customWidth="1"/>
    <col min="2" max="2" width="11.85546875" bestFit="1" customWidth="1"/>
    <col min="3" max="6" width="12.140625" bestFit="1" customWidth="1"/>
    <col min="7" max="7" width="22.28515625" bestFit="1" customWidth="1"/>
  </cols>
  <sheetData>
    <row r="1" spans="1:17" ht="18.75">
      <c r="A1" s="107" t="s">
        <v>51</v>
      </c>
      <c r="B1" s="107"/>
      <c r="C1" s="107"/>
      <c r="D1" s="107"/>
      <c r="E1" s="107"/>
      <c r="F1" s="107"/>
      <c r="G1" s="107"/>
      <c r="H1" s="26"/>
      <c r="I1" s="26"/>
      <c r="J1" s="26"/>
      <c r="K1" s="26"/>
      <c r="L1" s="26"/>
      <c r="M1" s="26"/>
      <c r="N1" s="26"/>
      <c r="O1" s="26"/>
      <c r="P1" s="26"/>
      <c r="Q1" s="26"/>
    </row>
    <row r="2" spans="1:17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ht="15.75">
      <c r="A3" s="108" t="s">
        <v>52</v>
      </c>
      <c r="B3" s="109"/>
      <c r="C3" s="109"/>
      <c r="D3" s="109"/>
      <c r="E3" s="109"/>
      <c r="F3" s="110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</row>
    <row r="4" spans="1:17">
      <c r="A4" s="3" t="s">
        <v>17</v>
      </c>
      <c r="B4" s="81">
        <v>2026</v>
      </c>
      <c r="C4" s="81">
        <f>B4+1</f>
        <v>2027</v>
      </c>
      <c r="D4" s="81">
        <f t="shared" ref="D4:F4" si="0">C4+1</f>
        <v>2028</v>
      </c>
      <c r="E4" s="81">
        <f t="shared" si="0"/>
        <v>2029</v>
      </c>
      <c r="F4" s="86">
        <f t="shared" si="0"/>
        <v>2030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>
      <c r="A5" s="3" t="s">
        <v>19</v>
      </c>
      <c r="B5" s="47" cm="1">
        <f t="array" ref="B5:B11">expenses_value</f>
        <v>725000</v>
      </c>
      <c r="C5" s="43" cm="1">
        <f t="array" ref="C5">ROUND(B5*(1+inflation_rate),0)</f>
        <v>746750</v>
      </c>
      <c r="D5" s="43" cm="1">
        <f t="array" ref="D5">ROUND(C5*(1+inflation_rate),0)</f>
        <v>769153</v>
      </c>
      <c r="E5" s="43" cm="1">
        <f t="array" ref="E5">ROUND(D5*(1+inflation_rate),0)</f>
        <v>792228</v>
      </c>
      <c r="F5" s="43" cm="1">
        <f t="array" ref="F5">ROUND(E5*(1+inflation_rate),0)</f>
        <v>815995</v>
      </c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</row>
    <row r="6" spans="1:17">
      <c r="A6" s="3" t="s">
        <v>21</v>
      </c>
      <c r="B6" s="47">
        <v>105000</v>
      </c>
      <c r="C6" s="43" cm="1">
        <f t="array" ref="C6">ROUND(B6*(1+inflation_rate),0)</f>
        <v>108150</v>
      </c>
      <c r="D6" s="43" cm="1">
        <f t="array" ref="D6">ROUND(C6*(1+inflation_rate),0)</f>
        <v>111395</v>
      </c>
      <c r="E6" s="43" cm="1">
        <f t="array" ref="E6">ROUND(D6*(1+inflation_rate),0)</f>
        <v>114737</v>
      </c>
      <c r="F6" s="43" cm="1">
        <f t="array" ref="F6">ROUND(E6*(1+inflation_rate),0)</f>
        <v>118179</v>
      </c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</row>
    <row r="7" spans="1:17">
      <c r="A7" s="75" t="s">
        <v>25</v>
      </c>
      <c r="B7" s="47">
        <v>50000</v>
      </c>
      <c r="C7" s="43" cm="1">
        <f t="array" ref="C7">ROUND(B7*(1+inflation_rate),0)</f>
        <v>51500</v>
      </c>
      <c r="D7" s="43" cm="1">
        <f t="array" ref="D7">ROUND(C7*(1+inflation_rate),0)</f>
        <v>53045</v>
      </c>
      <c r="E7" s="43" cm="1">
        <f t="array" ref="E7">ROUND(D7*(1+inflation_rate),0)</f>
        <v>54636</v>
      </c>
      <c r="F7" s="43" cm="1">
        <f t="array" ref="F7">ROUND(E7*(1+inflation_rate),0)</f>
        <v>56275</v>
      </c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</row>
    <row r="8" spans="1:17">
      <c r="A8" s="1" t="s">
        <v>28</v>
      </c>
      <c r="B8" s="94">
        <v>98000</v>
      </c>
      <c r="C8" s="95" cm="1">
        <f t="array" ref="C8">ROUND(B8*(1+inflation_rate),0)</f>
        <v>100940</v>
      </c>
      <c r="D8" s="95" cm="1">
        <f t="array" ref="D8">ROUND(C8*(1+inflation_rate),0)</f>
        <v>103968</v>
      </c>
      <c r="E8" s="95" cm="1">
        <f t="array" ref="E8">ROUND(D8*(1+inflation_rate),0)</f>
        <v>107087</v>
      </c>
      <c r="F8" s="95" cm="1">
        <f t="array" ref="F8">ROUND(E8*(1+inflation_rate),0)</f>
        <v>110300</v>
      </c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</row>
    <row r="9" spans="1:17">
      <c r="A9" s="1" t="s">
        <v>29</v>
      </c>
      <c r="B9" s="47">
        <v>52000</v>
      </c>
      <c r="C9" s="43" cm="1">
        <f t="array" ref="C9">ROUND(B9*(1+inflation_rate),0)</f>
        <v>53560</v>
      </c>
      <c r="D9" s="43" cm="1">
        <f t="array" ref="D9">ROUND(C9*(1+inflation_rate),0)</f>
        <v>55167</v>
      </c>
      <c r="E9" s="43" cm="1">
        <f t="array" ref="E9">ROUND(D9*(1+inflation_rate),0)</f>
        <v>56822</v>
      </c>
      <c r="F9" s="43" cm="1">
        <f t="array" ref="F9">ROUND(E9*(1+inflation_rate),0)</f>
        <v>58527</v>
      </c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</row>
    <row r="10" spans="1:17">
      <c r="A10" s="1" t="s">
        <v>31</v>
      </c>
      <c r="B10" s="47">
        <v>250000</v>
      </c>
      <c r="C10" s="43" cm="1">
        <f t="array" ref="C10">ROUND(B10*(1+inflation_rate),0)</f>
        <v>257500</v>
      </c>
      <c r="D10" s="43" cm="1">
        <f t="array" ref="D10">ROUND(C10*(1+inflation_rate),0)</f>
        <v>265225</v>
      </c>
      <c r="E10" s="43" cm="1">
        <f t="array" ref="E10">ROUND(D10*(1+inflation_rate),0)</f>
        <v>273182</v>
      </c>
      <c r="F10" s="43" cm="1">
        <f t="array" ref="F10">ROUND(E10*(1+inflation_rate),0)</f>
        <v>281377</v>
      </c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</row>
    <row r="11" spans="1:17">
      <c r="A11" s="1" t="s">
        <v>33</v>
      </c>
      <c r="B11" s="48">
        <v>144000</v>
      </c>
      <c r="C11" s="46" cm="1">
        <f t="array" ref="C11">ROUND(B11*(1+inflation_rate),0)</f>
        <v>148320</v>
      </c>
      <c r="D11" s="46" cm="1">
        <f t="array" ref="D11">ROUND(C11*(1+inflation_rate),0)</f>
        <v>152770</v>
      </c>
      <c r="E11" s="46" cm="1">
        <f t="array" ref="E11">ROUND(D11*(1+inflation_rate),0)</f>
        <v>157353</v>
      </c>
      <c r="F11" s="46" cm="1">
        <f t="array" ref="F11">ROUND(E11*(1+inflation_rate),0)</f>
        <v>162074</v>
      </c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</row>
    <row r="12" spans="1:17">
      <c r="A12" s="44" t="s">
        <v>53</v>
      </c>
      <c r="B12" s="45">
        <f>SUM(B5:B11)</f>
        <v>1424000</v>
      </c>
      <c r="C12" s="45">
        <f t="shared" ref="C12:F12" si="1">SUM(C5:C11)</f>
        <v>1466720</v>
      </c>
      <c r="D12" s="45">
        <f t="shared" si="1"/>
        <v>1510723</v>
      </c>
      <c r="E12" s="45">
        <f t="shared" si="1"/>
        <v>1556045</v>
      </c>
      <c r="F12" s="45">
        <f t="shared" si="1"/>
        <v>1602727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</row>
    <row r="13" spans="1:17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</row>
    <row r="14" spans="1:17" ht="15.75">
      <c r="A14" s="108" t="s">
        <v>54</v>
      </c>
      <c r="B14" s="109"/>
      <c r="C14" s="109"/>
      <c r="D14" s="109"/>
      <c r="E14" s="109"/>
      <c r="F14" s="110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</row>
    <row r="15" spans="1:17">
      <c r="A15" s="96" t="s">
        <v>17</v>
      </c>
      <c r="B15" s="81">
        <v>2026</v>
      </c>
      <c r="C15" s="81">
        <f>B15+1</f>
        <v>2027</v>
      </c>
      <c r="D15" s="81">
        <f>C15+1</f>
        <v>2028</v>
      </c>
      <c r="E15" s="81">
        <f>D15+1</f>
        <v>2029</v>
      </c>
      <c r="F15" s="86">
        <f>E15+1</f>
        <v>2030</v>
      </c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</row>
    <row r="16" spans="1:17">
      <c r="A16" s="97" t="s">
        <v>54</v>
      </c>
      <c r="B16" s="98" cm="1">
        <f t="array" ref="B16:F16">debt_service_values</f>
        <v>165000</v>
      </c>
      <c r="C16" s="98">
        <v>165000</v>
      </c>
      <c r="D16" s="98">
        <v>175000</v>
      </c>
      <c r="E16" s="98">
        <v>175000</v>
      </c>
      <c r="F16" s="98">
        <v>175000</v>
      </c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</row>
    <row r="17" spans="1:17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ht="15.75">
      <c r="A18" s="49" t="s">
        <v>55</v>
      </c>
      <c r="B18" s="50">
        <f>SUM(B16+B12)</f>
        <v>1589000</v>
      </c>
      <c r="C18" s="50">
        <f t="shared" ref="C18:F18" si="2">SUM(C16+C12)</f>
        <v>1631720</v>
      </c>
      <c r="D18" s="50">
        <f t="shared" si="2"/>
        <v>1685723</v>
      </c>
      <c r="E18" s="50">
        <f t="shared" si="2"/>
        <v>1731045</v>
      </c>
      <c r="F18" s="50">
        <f t="shared" si="2"/>
        <v>1777727</v>
      </c>
      <c r="G18" s="26" t="s">
        <v>56</v>
      </c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1:17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1:17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</row>
    <row r="21" spans="1:17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</row>
    <row r="22" spans="1:17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</row>
    <row r="23" spans="1:17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</row>
    <row r="25" spans="1:17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</row>
    <row r="26" spans="1:17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</row>
    <row r="27" spans="1:1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</row>
    <row r="28" spans="1:17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</row>
    <row r="29" spans="1:17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</row>
    <row r="30" spans="1:17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</row>
    <row r="31" spans="1:17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</row>
    <row r="32" spans="1:17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</row>
    <row r="33" spans="1:17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</row>
  </sheetData>
  <sheetProtection sheet="1" objects="1" scenarios="1"/>
  <mergeCells count="3">
    <mergeCell ref="A1:G1"/>
    <mergeCell ref="A3:F3"/>
    <mergeCell ref="A14:F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71A9-E3E6-4702-9C2B-B190BAB0F6FB}">
  <dimension ref="A1:P31"/>
  <sheetViews>
    <sheetView workbookViewId="0">
      <selection activeCell="B16" sqref="B16"/>
    </sheetView>
  </sheetViews>
  <sheetFormatPr defaultRowHeight="15"/>
  <cols>
    <col min="1" max="1" width="31.42578125" customWidth="1"/>
    <col min="2" max="2" width="13.28515625" bestFit="1" customWidth="1"/>
    <col min="3" max="3" width="17" bestFit="1" customWidth="1"/>
    <col min="4" max="6" width="13.28515625" bestFit="1" customWidth="1"/>
  </cols>
  <sheetData>
    <row r="1" spans="1:16" ht="18.75">
      <c r="A1" s="107" t="s">
        <v>57</v>
      </c>
      <c r="B1" s="107"/>
      <c r="C1" s="107"/>
      <c r="D1" s="107"/>
      <c r="E1" s="107"/>
      <c r="F1" s="107"/>
      <c r="G1" s="107"/>
      <c r="H1" s="107"/>
      <c r="I1" s="26"/>
      <c r="J1" s="26"/>
      <c r="K1" s="26"/>
      <c r="L1" s="26"/>
      <c r="M1" s="26"/>
      <c r="N1" s="26"/>
      <c r="O1" s="26"/>
      <c r="P1" s="26"/>
    </row>
    <row r="2" spans="1:16" ht="18.75">
      <c r="A2" s="67"/>
      <c r="B2" s="67"/>
      <c r="C2" s="67"/>
      <c r="D2" s="67"/>
      <c r="E2" s="67"/>
      <c r="F2" s="67"/>
      <c r="G2" s="67"/>
      <c r="H2" s="67"/>
      <c r="I2" s="26"/>
      <c r="J2" s="26"/>
      <c r="K2" s="26"/>
      <c r="L2" s="26"/>
      <c r="M2" s="26"/>
      <c r="N2" s="26"/>
      <c r="O2" s="26"/>
      <c r="P2" s="26"/>
    </row>
    <row r="3" spans="1:16">
      <c r="A3" s="60" t="s">
        <v>17</v>
      </c>
      <c r="B3" s="21" cm="1">
        <f t="array" ref="B3">currentyear</f>
        <v>2026</v>
      </c>
      <c r="C3" s="21">
        <f>B3+1</f>
        <v>2027</v>
      </c>
      <c r="D3" s="21">
        <f t="shared" ref="D3:F3" si="0">C3+1</f>
        <v>2028</v>
      </c>
      <c r="E3" s="21">
        <f t="shared" si="0"/>
        <v>2029</v>
      </c>
      <c r="F3" s="21">
        <f t="shared" si="0"/>
        <v>2030</v>
      </c>
      <c r="G3" s="26"/>
      <c r="H3" s="26"/>
      <c r="I3" s="26"/>
      <c r="J3" s="26"/>
      <c r="K3" s="26"/>
      <c r="L3" s="26"/>
      <c r="M3" s="26"/>
      <c r="N3" s="26"/>
      <c r="O3" s="26"/>
      <c r="P3" s="26"/>
    </row>
    <row r="4" spans="1:16">
      <c r="A4" s="72" t="s">
        <v>58</v>
      </c>
      <c r="B4" s="70" cm="1">
        <f t="array" ref="B4:F4">total_operating_revenue_row</f>
        <v>1566210</v>
      </c>
      <c r="C4" s="70">
        <v>1673640</v>
      </c>
      <c r="D4" s="70">
        <v>1746384</v>
      </c>
      <c r="E4" s="70">
        <v>1764054</v>
      </c>
      <c r="F4" s="71">
        <v>1836894</v>
      </c>
      <c r="G4" s="26"/>
      <c r="H4" s="26"/>
      <c r="I4" s="26"/>
      <c r="J4" s="26"/>
      <c r="K4" s="26"/>
      <c r="L4" s="26"/>
      <c r="M4" s="26"/>
      <c r="N4" s="26"/>
      <c r="O4" s="26"/>
      <c r="P4" s="26"/>
    </row>
    <row r="5" spans="1:16">
      <c r="A5" s="72" t="s">
        <v>55</v>
      </c>
      <c r="B5" s="70" cm="1">
        <f t="array" ref="B5:F5">total_cost_of_service_row</f>
        <v>1589000</v>
      </c>
      <c r="C5" s="70">
        <v>1631720</v>
      </c>
      <c r="D5" s="70">
        <v>1685723</v>
      </c>
      <c r="E5" s="70">
        <v>1731045</v>
      </c>
      <c r="F5" s="71">
        <v>1777727</v>
      </c>
      <c r="G5" s="26"/>
      <c r="H5" s="26"/>
      <c r="I5" s="26"/>
      <c r="J5" s="26"/>
      <c r="K5" s="26"/>
      <c r="L5" s="26"/>
      <c r="M5" s="26"/>
      <c r="N5" s="26"/>
      <c r="O5" s="26"/>
      <c r="P5" s="26"/>
    </row>
    <row r="6" spans="1:16">
      <c r="A6" s="72" t="s">
        <v>59</v>
      </c>
      <c r="B6" s="70">
        <f>B4-B5</f>
        <v>-22790</v>
      </c>
      <c r="C6" s="70">
        <f t="shared" ref="C6:F6" si="1">C4-C5</f>
        <v>41920</v>
      </c>
      <c r="D6" s="70">
        <f t="shared" si="1"/>
        <v>60661</v>
      </c>
      <c r="E6" s="70">
        <f t="shared" si="1"/>
        <v>33009</v>
      </c>
      <c r="F6" s="71">
        <f t="shared" si="1"/>
        <v>59167</v>
      </c>
      <c r="G6" s="26"/>
      <c r="H6" s="26"/>
      <c r="I6" s="26"/>
      <c r="J6" s="26"/>
      <c r="K6" s="26"/>
      <c r="L6" s="26"/>
      <c r="M6" s="26"/>
      <c r="N6" s="26"/>
      <c r="O6" s="26"/>
      <c r="P6" s="26"/>
    </row>
    <row r="7" spans="1:16">
      <c r="A7" s="78" t="s">
        <v>60</v>
      </c>
      <c r="B7" s="79">
        <f>B6</f>
        <v>-22790</v>
      </c>
      <c r="C7" s="79">
        <f>B7+C6</f>
        <v>19130</v>
      </c>
      <c r="D7" s="79">
        <f t="shared" ref="D7:F7" si="2">C7+D6</f>
        <v>79791</v>
      </c>
      <c r="E7" s="79">
        <f t="shared" si="2"/>
        <v>112800</v>
      </c>
      <c r="F7" s="80">
        <f t="shared" si="2"/>
        <v>171967</v>
      </c>
      <c r="G7" s="26"/>
      <c r="H7" s="26"/>
      <c r="I7" s="26"/>
      <c r="J7" s="26"/>
      <c r="K7" s="26"/>
      <c r="L7" s="26"/>
      <c r="M7" s="26"/>
      <c r="N7" s="26"/>
      <c r="O7" s="26"/>
      <c r="P7" s="26"/>
    </row>
    <row r="8" spans="1:16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</row>
    <row r="9" spans="1:16">
      <c r="A9" s="60" t="s">
        <v>17</v>
      </c>
      <c r="B9" s="21" cm="1">
        <f t="array" ref="B9">currentyear</f>
        <v>2026</v>
      </c>
      <c r="C9" s="21">
        <f>B9+1</f>
        <v>2027</v>
      </c>
      <c r="D9" s="21">
        <f t="shared" ref="D9:F9" si="3">C9+1</f>
        <v>2028</v>
      </c>
      <c r="E9" s="21">
        <f t="shared" si="3"/>
        <v>2029</v>
      </c>
      <c r="F9" s="21">
        <f t="shared" si="3"/>
        <v>2030</v>
      </c>
      <c r="G9" s="26"/>
      <c r="H9" s="26"/>
      <c r="I9" s="26"/>
      <c r="J9" s="26"/>
      <c r="K9" s="26"/>
      <c r="L9" s="26"/>
      <c r="M9" s="26"/>
      <c r="N9" s="26"/>
      <c r="O9" s="26"/>
      <c r="P9" s="26"/>
    </row>
    <row r="10" spans="1:16">
      <c r="A10" s="3" t="s">
        <v>61</v>
      </c>
      <c r="B10" s="70" cm="1">
        <f t="array" ref="B10:F10">total_operating_revenue_row - total_operating_expenses</f>
        <v>142210</v>
      </c>
      <c r="C10" s="70">
        <v>206920</v>
      </c>
      <c r="D10" s="70">
        <v>235661</v>
      </c>
      <c r="E10" s="70">
        <v>208009</v>
      </c>
      <c r="F10" s="71">
        <v>234167</v>
      </c>
      <c r="G10" s="26"/>
      <c r="H10" s="26"/>
      <c r="I10" s="26"/>
      <c r="J10" s="26"/>
      <c r="K10" s="26"/>
      <c r="L10" s="26"/>
      <c r="M10" s="26"/>
      <c r="N10" s="26"/>
      <c r="O10" s="26"/>
      <c r="P10" s="26"/>
    </row>
    <row r="11" spans="1:16">
      <c r="A11" s="3" t="s">
        <v>54</v>
      </c>
      <c r="B11" s="70" cm="1">
        <f t="array" ref="B11:F11">debt_service_values</f>
        <v>165000</v>
      </c>
      <c r="C11" s="70">
        <v>165000</v>
      </c>
      <c r="D11" s="70">
        <v>175000</v>
      </c>
      <c r="E11" s="70">
        <v>175000</v>
      </c>
      <c r="F11" s="71">
        <v>175000</v>
      </c>
      <c r="G11" s="26"/>
      <c r="H11" s="26"/>
      <c r="I11" s="26"/>
      <c r="J11" s="26"/>
      <c r="K11" s="26"/>
      <c r="L11" s="26"/>
      <c r="M11" s="26"/>
      <c r="N11" s="26"/>
      <c r="O11" s="26"/>
      <c r="P11" s="26"/>
    </row>
    <row r="12" spans="1:16" ht="21" customHeight="1">
      <c r="A12" s="72" t="s">
        <v>62</v>
      </c>
      <c r="B12" s="73">
        <f>B10/B11</f>
        <v>0.86187878787878791</v>
      </c>
      <c r="C12" s="73">
        <f t="shared" ref="C12:F12" si="4">C10/C11</f>
        <v>1.2540606060606061</v>
      </c>
      <c r="D12" s="73">
        <f t="shared" si="4"/>
        <v>1.3466342857142857</v>
      </c>
      <c r="E12" s="73">
        <f t="shared" si="4"/>
        <v>1.1886228571428572</v>
      </c>
      <c r="F12" s="74">
        <f t="shared" si="4"/>
        <v>1.3380971428571429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</row>
    <row r="13" spans="1:16">
      <c r="A13" s="75" t="s">
        <v>63</v>
      </c>
      <c r="B13" s="76" t="str" cm="1">
        <f t="array" ref="B13">IF(B12&gt;=target_dscr, "Sufficient", "Insufficient")</f>
        <v>Insufficient</v>
      </c>
      <c r="C13" s="76" t="str" cm="1">
        <f t="array" ref="C13">IF(C12&gt;=target_dscr, "Sufficient", "Insufficient")</f>
        <v>Sufficient</v>
      </c>
      <c r="D13" s="76" t="str" cm="1">
        <f t="array" ref="D13">IF(D12&gt;=target_dscr, "Sufficient", "Insufficient")</f>
        <v>Sufficient</v>
      </c>
      <c r="E13" s="76" t="str" cm="1">
        <f t="array" ref="E13">IF(E12&gt;=target_dscr, "Sufficient", "Insufficient")</f>
        <v>Sufficient</v>
      </c>
      <c r="F13" s="77" t="str" cm="1">
        <f t="array" ref="F13">IF(F12&gt;=target_dscr, "Sufficient", "Insufficient")</f>
        <v>Sufficient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</row>
    <row r="14" spans="1:16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</row>
    <row r="15" spans="1:16">
      <c r="A15" s="1" t="s">
        <v>64</v>
      </c>
      <c r="B15" s="1" t="s">
        <v>65</v>
      </c>
      <c r="C15" s="1" t="s">
        <v>66</v>
      </c>
      <c r="D15" s="1" t="s">
        <v>67</v>
      </c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</row>
    <row r="16" spans="1:16">
      <c r="A16" s="1" t="str" cm="1">
        <f t="array" ref="A16">rate_structure_1</f>
        <v>Residential water, inside</v>
      </c>
      <c r="B16" s="132" cm="1">
        <f t="array" ref="B16">RS1_base_charge2026</f>
        <v>17</v>
      </c>
      <c r="C16" s="132" cm="1">
        <f t="array" ref="C16">ROUND(SUM(RS1_block_consumption2026 * RS1_vrates2026)/num_accountsRS1,2)</f>
        <v>15.75</v>
      </c>
      <c r="D16" s="132">
        <f>B16+C16</f>
        <v>32.75</v>
      </c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</row>
    <row r="17" spans="1:16">
      <c r="A17" s="1" t="str" cm="1">
        <f t="array" ref="A17">rate_structure_2</f>
        <v>Commerical, inside</v>
      </c>
      <c r="B17" s="132">
        <v>35</v>
      </c>
      <c r="C17" s="132" cm="1">
        <f t="array" ref="C17">ROUND(SUM(RS2_block_consumption2026 * RS2_vrates2026)/num_accountsRS2,2)</f>
        <v>52.25</v>
      </c>
      <c r="D17" s="132">
        <f>B17+C17</f>
        <v>87.25</v>
      </c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</row>
    <row r="18" spans="1:16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</row>
    <row r="19" spans="1:16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</row>
    <row r="20" spans="1:16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</row>
    <row r="21" spans="1:16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</row>
    <row r="22" spans="1:16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</row>
    <row r="23" spans="1:16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</row>
    <row r="24" spans="1:16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</row>
    <row r="25" spans="1:16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</row>
    <row r="26" spans="1:1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</row>
    <row r="27" spans="1:16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</row>
    <row r="28" spans="1:16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</row>
    <row r="29" spans="1:16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</row>
    <row r="30" spans="1:16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</row>
    <row r="31" spans="1:16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</row>
  </sheetData>
  <sheetProtection sheet="1" objects="1" scenarios="1"/>
  <mergeCells count="1">
    <mergeCell ref="A1:H1"/>
  </mergeCells>
  <conditionalFormatting sqref="B13:F13">
    <cfRule type="containsText" dxfId="3" priority="4" operator="containsText" text="Sufficient">
      <formula>NOT(ISERROR(SEARCH("Sufficient",B13)))</formula>
    </cfRule>
  </conditionalFormatting>
  <conditionalFormatting sqref="B13:F13">
    <cfRule type="containsText" dxfId="2" priority="3" operator="containsText" text="Insufficient">
      <formula>NOT(ISERROR(SEARCH("Insufficient",B13)))</formula>
    </cfRule>
  </conditionalFormatting>
  <conditionalFormatting sqref="B6:F6">
    <cfRule type="cellIs" dxfId="1" priority="2" operator="greaterThanOrEqual">
      <formula>0</formula>
    </cfRule>
  </conditionalFormatting>
  <conditionalFormatting sqref="B6:F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2026-05-29T02:32:54Z</dcterms:created>
  <dcterms:modified xsi:type="dcterms:W3CDTF">2026-05-30T01:20:59Z</dcterms:modified>
  <cp:category/>
  <cp:contentStatus/>
</cp:coreProperties>
</file>