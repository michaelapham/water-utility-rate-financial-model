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 defaultThemeVersion="166925"/>
  <xr:revisionPtr revIDLastSave="0" documentId="8_{6462D014-B4B3-4BDE-A66E-8FC3706CE8F8}" xr6:coauthVersionLast="47" xr6:coauthVersionMax="47" xr10:uidLastSave="{00000000-0000-0000-0000-000000000000}"/>
  <bookViews>
    <workbookView xWindow="240" yWindow="105" windowWidth="14805" windowHeight="8010" firstSheet="1" xr2:uid="{00000000-000D-0000-FFFF-FFFF00000000}"/>
  </bookViews>
  <sheets>
    <sheet name="Inputs" sheetId="1" r:id="rId1"/>
    <sheet name="Revenue_Model" sheetId="2" r:id="rId2"/>
    <sheet name="Expense_Model" sheetId="3" r:id="rId3"/>
  </sheets>
  <definedNames>
    <definedName name="base_chargeRS1">Inputs!$C$14:$G$14</definedName>
    <definedName name="base_chargeRS2">Inputs!$C$24:$G$24</definedName>
    <definedName name="expenses_value">Inputs!$N$12:$N$18</definedName>
    <definedName name="inflation_rate">Inputs!$E$7:$E$7</definedName>
    <definedName name="num_accounts">Inputs!$B$8:$B$8</definedName>
    <definedName name="num_accountsRS1">Inputs!$A$16:$A$16</definedName>
    <definedName name="num_accountsRS2">Inputs!$A$26:$A$26</definedName>
    <definedName name="pop_growth_rate">Inputs!$E$8:$E$8</definedName>
    <definedName name="rate_structure_1">Inputs!$A$14:$A$14</definedName>
    <definedName name="rate_structure_2">Inputs!$A$24:$A$24</definedName>
    <definedName name="RS1_block_consumption">Inputs!$K$13:$K$15</definedName>
    <definedName name="RS1_num_accounts">Revenue_Model!$B$5:$F$5</definedName>
    <definedName name="RS1_num_accounts_currentyear">Inputs!$A$16:$A$16</definedName>
    <definedName name="RS1_vrates2026">Inputs!$C$19:$C$21</definedName>
    <definedName name="RS1_vrates2027">Inputs!$D$19:$D$21</definedName>
    <definedName name="RS1_vrates2028">Inputs!$E$19:$E$21</definedName>
    <definedName name="RS1_vrates2029">Inputs!$F$19:$F$21</definedName>
    <definedName name="RS1_vrates2030">Inputs!$G$19:$G$21</definedName>
    <definedName name="RS2_block_consumption">Inputs!$K$18:$K$20</definedName>
    <definedName name="RS2_num_accounts">Revenue_Model!$B$14:$F$14</definedName>
    <definedName name="RS2_num_accounts_currentyear">Inputs!$A$26:$A$26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1" l="1"/>
  <c r="C18" i="3"/>
  <c r="D18" i="3"/>
  <c r="E18" i="3"/>
  <c r="F18" i="3"/>
  <c r="B18" i="3"/>
  <c r="C15" i="3"/>
  <c r="D15" i="3" s="1"/>
  <c r="E15" i="3" s="1"/>
  <c r="F15" i="3" s="1"/>
  <c r="B5" i="3" a="1"/>
  <c r="B5" i="3"/>
  <c r="B12" i="3"/>
  <c r="C6" i="3" a="1"/>
  <c r="C6" i="3"/>
  <c r="D6" i="3" a="1"/>
  <c r="D6" i="3"/>
  <c r="E6" i="3" a="1"/>
  <c r="E6" i="3"/>
  <c r="F6" i="3" a="1"/>
  <c r="F6" i="3"/>
  <c r="C7" i="3" a="1"/>
  <c r="C7" i="3"/>
  <c r="D7" i="3" a="1"/>
  <c r="D7" i="3"/>
  <c r="E7" i="3" a="1"/>
  <c r="E7" i="3"/>
  <c r="F7" i="3" a="1"/>
  <c r="F7" i="3"/>
  <c r="C8" i="3" a="1"/>
  <c r="C8" i="3"/>
  <c r="D8" i="3" a="1"/>
  <c r="D8" i="3"/>
  <c r="E8" i="3" a="1"/>
  <c r="E8" i="3"/>
  <c r="F8" i="3" a="1"/>
  <c r="F8" i="3"/>
  <c r="C9" i="3" a="1"/>
  <c r="C9" i="3"/>
  <c r="D9" i="3" a="1"/>
  <c r="D9" i="3"/>
  <c r="E9" i="3" a="1"/>
  <c r="E9" i="3"/>
  <c r="F9" i="3" a="1"/>
  <c r="F9" i="3"/>
  <c r="C10" i="3" a="1"/>
  <c r="C10" i="3"/>
  <c r="D10" i="3" a="1"/>
  <c r="D10" i="3"/>
  <c r="E10" i="3" a="1"/>
  <c r="E10" i="3"/>
  <c r="F10" i="3" a="1"/>
  <c r="F10" i="3"/>
  <c r="C11" i="3" a="1"/>
  <c r="C11" i="3"/>
  <c r="D11" i="3" a="1"/>
  <c r="D11" i="3"/>
  <c r="E11" i="3" a="1"/>
  <c r="E11" i="3"/>
  <c r="F11" i="3" a="1"/>
  <c r="F11" i="3"/>
  <c r="C5" i="3" a="1"/>
  <c r="C5" i="3"/>
  <c r="C4" i="3"/>
  <c r="D4" i="3" s="1"/>
  <c r="E4" i="3" s="1"/>
  <c r="F4" i="3" s="1"/>
  <c r="F16" i="2" a="1"/>
  <c r="F16" i="2"/>
  <c r="E16" i="2" a="1"/>
  <c r="E16" i="2"/>
  <c r="D16" i="2" a="1"/>
  <c r="D16" i="2"/>
  <c r="C16" i="2" a="1"/>
  <c r="C16" i="2"/>
  <c r="B16" i="2" a="1"/>
  <c r="B16" i="2"/>
  <c r="F7" i="2" a="1"/>
  <c r="F7" i="2"/>
  <c r="E7" i="2" a="1"/>
  <c r="E7" i="2"/>
  <c r="D7" i="2" a="1"/>
  <c r="D7" i="2"/>
  <c r="C7" i="2" a="1"/>
  <c r="C7" i="2"/>
  <c r="B7" i="2" a="1"/>
  <c r="B7" i="2"/>
  <c r="B14" i="2" a="1"/>
  <c r="B14" i="2"/>
  <c r="B5" i="2" a="1"/>
  <c r="B5" i="2"/>
  <c r="C13" i="2"/>
  <c r="D13" i="2" s="1"/>
  <c r="E13" i="2" s="1"/>
  <c r="F13" i="2" s="1"/>
  <c r="C4" i="2"/>
  <c r="D4" i="2" s="1"/>
  <c r="E4" i="2" s="1"/>
  <c r="F4" i="2" s="1"/>
  <c r="P14" i="1"/>
  <c r="P15" i="1" s="1"/>
  <c r="P16" i="1" s="1"/>
  <c r="P17" i="1" s="1"/>
  <c r="I18" i="1" a="1"/>
  <c r="I18" i="1"/>
  <c r="I13" i="1" a="1"/>
  <c r="I13" i="1"/>
  <c r="D11" i="1"/>
  <c r="E11" i="1" s="1"/>
  <c r="F11" i="1" s="1"/>
  <c r="G11" i="1" s="1"/>
  <c r="C14" i="2" l="1" a="1"/>
  <c r="C14" i="2" s="1"/>
  <c r="C5" i="2" a="1"/>
  <c r="C5" i="2" s="1"/>
  <c r="C12" i="3"/>
  <c r="D5" i="3" a="1"/>
  <c r="D5" i="3" s="1"/>
  <c r="D14" i="2" l="1" a="1"/>
  <c r="D14" i="2" s="1"/>
  <c r="E14" i="2" s="1" a="1"/>
  <c r="E14" i="2" s="1"/>
  <c r="F14" i="2" s="1" a="1"/>
  <c r="F14" i="2" s="1"/>
  <c r="B15" i="2" a="1"/>
  <c r="D5" i="2" a="1"/>
  <c r="D5" i="2" s="1"/>
  <c r="E5" i="2" s="1" a="1"/>
  <c r="E5" i="2" s="1"/>
  <c r="F5" i="2" s="1" a="1"/>
  <c r="F5" i="2" s="1"/>
  <c r="B6" i="2" a="1"/>
  <c r="D12" i="3"/>
  <c r="E5" i="3" a="1"/>
  <c r="E5" i="3" s="1"/>
  <c r="C19" i="2" l="1"/>
  <c r="D19" i="2"/>
  <c r="E19" i="2"/>
  <c r="F19" i="2"/>
  <c r="B15" i="2"/>
  <c r="B19" i="2" s="1"/>
  <c r="C10" i="2"/>
  <c r="C21" i="2" s="1"/>
  <c r="D10" i="2"/>
  <c r="D21" i="2" s="1"/>
  <c r="E10" i="2"/>
  <c r="E21" i="2" s="1"/>
  <c r="F10" i="2"/>
  <c r="F21" i="2" s="1"/>
  <c r="B6" i="2"/>
  <c r="B10" i="2" s="1"/>
  <c r="B21" i="2" s="1"/>
  <c r="E12" i="3"/>
  <c r="F5" i="3" a="1"/>
  <c r="F5" i="3" s="1"/>
  <c r="F1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<sst xmlns="http://schemas.openxmlformats.org/spreadsheetml/2006/main" count="85" uniqueCount="53">
  <si>
    <t>Water Utility Financial Model</t>
  </si>
  <si>
    <t>5-Year Rate Sufficiency Analysis | 2026-2030</t>
  </si>
  <si>
    <t>Inputs: Rates, Accounts, Water Consumption</t>
  </si>
  <si>
    <t>Utility:</t>
  </si>
  <si>
    <t>Stringtown, TX</t>
  </si>
  <si>
    <t>Assumptions:</t>
  </si>
  <si>
    <t>Population:</t>
  </si>
  <si>
    <t>Inflation Rate:</t>
  </si>
  <si>
    <t>Number of Accounts:</t>
  </si>
  <si>
    <t>Population Growth Rate:</t>
  </si>
  <si>
    <t>Annual Water Consumption:</t>
  </si>
  <si>
    <t>Rate Structure(s)</t>
  </si>
  <si>
    <t>Year:</t>
  </si>
  <si>
    <t>Monthly Consumption Over Included Amount</t>
  </si>
  <si>
    <t>Annual Operating Expenses</t>
  </si>
  <si>
    <t>Annual Debt Service</t>
  </si>
  <si>
    <t>Rate Structure 1:</t>
  </si>
  <si>
    <t>Salaries</t>
  </si>
  <si>
    <t>Year</t>
  </si>
  <si>
    <t>Block 1:</t>
  </si>
  <si>
    <t>*In gallons/month, excluding included amount</t>
  </si>
  <si>
    <t>Chemicals/Treatments</t>
  </si>
  <si>
    <t>Residential water, inside</t>
  </si>
  <si>
    <t>Base Charge (monthly):</t>
  </si>
  <si>
    <t>Block 2:</t>
  </si>
  <si>
    <t>Energy and Utilities</t>
  </si>
  <si>
    <t>Consumption included with base charge (gallons/month):</t>
  </si>
  <si>
    <t>Block 3:</t>
  </si>
  <si>
    <t>Maintenance &amp; Repairs</t>
  </si>
  <si>
    <t>Administrative</t>
  </si>
  <si>
    <t>Rate Structure 2:</t>
  </si>
  <si>
    <t>Cash Reserves</t>
  </si>
  <si>
    <t>Block cutoffs, starts at 2000</t>
  </si>
  <si>
    <t>Other</t>
  </si>
  <si>
    <t>Block rate 1 ($/1000 gal)</t>
  </si>
  <si>
    <t>Block rate 2 ($/1000 gal)</t>
  </si>
  <si>
    <t>Block rate 3 ($/1000 gal)</t>
  </si>
  <si>
    <t>Residential water, outside</t>
  </si>
  <si>
    <t>Revenue Projections | 2026 - 2030</t>
  </si>
  <si>
    <t>Number of Accounts</t>
  </si>
  <si>
    <t>Base Charge Revenue</t>
  </si>
  <si>
    <t>Block 1 Revenue</t>
  </si>
  <si>
    <t>Block 2 Revenue</t>
  </si>
  <si>
    <t>Block 3 Revenue</t>
  </si>
  <si>
    <t>RS1 Operating Revenue</t>
  </si>
  <si>
    <t>RS2 Operating Revenue</t>
  </si>
  <si>
    <t>Total Operating Revenue</t>
  </si>
  <si>
    <t>Expense Projections | 2026 - 2030</t>
  </si>
  <si>
    <t>Operating Expenses</t>
  </si>
  <si>
    <t>Total Operating Expenses</t>
  </si>
  <si>
    <t>Debt Service</t>
  </si>
  <si>
    <t>Total Cost of Service</t>
  </si>
  <si>
    <t>*Revenue Requirements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</si>
</sst>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%"/>
    <numFmt numFmtId="168" formatCode="&quot;$&quot;#,##0"/>
  </numFmts>
  <fonts count="8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rgb="FF000000"/>
      <name val="Calibri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2" borderId="0" xfId="0" applyFont="1" applyFill="1"/>
    <xf numFmtId="0" fontId="0" fillId="3" borderId="1" xfId="0" applyFill="1" applyBorder="1"/>
    <xf numFmtId="0" fontId="1" fillId="2" borderId="5" xfId="0" applyFont="1" applyFill="1" applyBorder="1"/>
    <xf numFmtId="0" fontId="3" fillId="2" borderId="5" xfId="0" applyFont="1" applyFill="1" applyBorder="1"/>
    <xf numFmtId="0" fontId="3" fillId="2" borderId="7" xfId="0" applyFont="1" applyFill="1" applyBorder="1"/>
    <xf numFmtId="0" fontId="3" fillId="2" borderId="2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8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4" fillId="3" borderId="9" xfId="0" applyFont="1" applyFill="1" applyBorder="1"/>
    <xf numFmtId="0" fontId="1" fillId="2" borderId="2" xfId="0" applyFont="1" applyFill="1" applyBorder="1" applyAlignment="1">
      <alignment wrapText="1"/>
    </xf>
    <xf numFmtId="0" fontId="0" fillId="2" borderId="0" xfId="0" applyFill="1" applyBorder="1"/>
    <xf numFmtId="0" fontId="0" fillId="3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6" xfId="0" applyFill="1" applyBorder="1"/>
    <xf numFmtId="0" fontId="1" fillId="2" borderId="3" xfId="0" applyFont="1" applyFill="1" applyBorder="1"/>
    <xf numFmtId="0" fontId="0" fillId="2" borderId="3" xfId="0" applyFont="1" applyFill="1" applyBorder="1"/>
    <xf numFmtId="0" fontId="5" fillId="3" borderId="5" xfId="0" applyFont="1" applyFill="1" applyBorder="1"/>
    <xf numFmtId="164" fontId="0" fillId="3" borderId="1" xfId="0" applyNumberForma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0" fillId="3" borderId="10" xfId="0" applyFill="1" applyBorder="1"/>
    <xf numFmtId="0" fontId="0" fillId="3" borderId="8" xfId="0" applyFill="1" applyBorder="1"/>
    <xf numFmtId="0" fontId="3" fillId="2" borderId="1" xfId="0" applyFont="1" applyFill="1" applyBorder="1" applyAlignment="1">
      <alignment horizontal="left"/>
    </xf>
    <xf numFmtId="0" fontId="0" fillId="4" borderId="0" xfId="0" applyFill="1"/>
    <xf numFmtId="0" fontId="0" fillId="4" borderId="5" xfId="0" applyFill="1" applyBorder="1"/>
    <xf numFmtId="0" fontId="0" fillId="4" borderId="0" xfId="0" applyFill="1" applyBorder="1"/>
    <xf numFmtId="0" fontId="0" fillId="4" borderId="0" xfId="0" applyFill="1" applyAlignment="1">
      <alignment wrapText="1"/>
    </xf>
    <xf numFmtId="0" fontId="0" fillId="4" borderId="6" xfId="0" applyFill="1" applyBorder="1"/>
    <xf numFmtId="0" fontId="1" fillId="2" borderId="0" xfId="0" applyFont="1" applyFill="1" applyAlignment="1">
      <alignment vertical="top"/>
    </xf>
    <xf numFmtId="0" fontId="1" fillId="2" borderId="5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3" fontId="0" fillId="3" borderId="1" xfId="0" applyNumberFormat="1" applyFill="1" applyBorder="1"/>
    <xf numFmtId="0" fontId="3" fillId="2" borderId="0" xfId="0" applyFont="1" applyFill="1"/>
    <xf numFmtId="6" fontId="0" fillId="3" borderId="1" xfId="0" applyNumberFormat="1" applyFill="1" applyBorder="1"/>
    <xf numFmtId="6" fontId="0" fillId="3" borderId="12" xfId="0" applyNumberFormat="1" applyFill="1" applyBorder="1"/>
    <xf numFmtId="8" fontId="0" fillId="3" borderId="1" xfId="0" applyNumberFormat="1" applyFill="1" applyBorder="1"/>
    <xf numFmtId="0" fontId="1" fillId="2" borderId="0" xfId="0" applyFont="1" applyFill="1" applyAlignment="1">
      <alignment horizontal="right" vertical="center"/>
    </xf>
    <xf numFmtId="6" fontId="0" fillId="3" borderId="1" xfId="0" applyNumberFormat="1" applyFont="1" applyFill="1" applyBorder="1"/>
    <xf numFmtId="8" fontId="0" fillId="3" borderId="10" xfId="0" applyNumberFormat="1" applyFill="1" applyBorder="1"/>
    <xf numFmtId="3" fontId="0" fillId="3" borderId="10" xfId="0" applyNumberFormat="1" applyFill="1" applyBorder="1"/>
    <xf numFmtId="0" fontId="3" fillId="2" borderId="0" xfId="0" applyFont="1" applyFill="1" applyAlignment="1">
      <alignment horizontal="center" wrapText="1"/>
    </xf>
    <xf numFmtId="0" fontId="6" fillId="4" borderId="0" xfId="0" applyFont="1" applyFill="1" applyAlignment="1">
      <alignment horizontal="center" wrapText="1"/>
    </xf>
    <xf numFmtId="0" fontId="0" fillId="4" borderId="0" xfId="0" applyFill="1" applyAlignment="1">
      <alignment horizontal="center" wrapText="1"/>
    </xf>
    <xf numFmtId="0" fontId="0" fillId="3" borderId="0" xfId="0" applyFill="1" applyAlignment="1">
      <alignment horizontal="center" wrapText="1"/>
    </xf>
    <xf numFmtId="0" fontId="5" fillId="3" borderId="5" xfId="0" applyFont="1" applyFill="1" applyBorder="1" applyAlignment="1">
      <alignment horizontal="left"/>
    </xf>
    <xf numFmtId="0" fontId="2" fillId="2" borderId="0" xfId="0" applyFont="1" applyFill="1"/>
    <xf numFmtId="0" fontId="7" fillId="4" borderId="0" xfId="0" applyFont="1" applyFill="1" applyAlignment="1">
      <alignment horizontal="center"/>
    </xf>
    <xf numFmtId="6" fontId="1" fillId="2" borderId="1" xfId="0" applyNumberFormat="1" applyFont="1" applyFill="1" applyBorder="1"/>
    <xf numFmtId="0" fontId="2" fillId="2" borderId="13" xfId="0" applyFont="1" applyFill="1" applyBorder="1"/>
    <xf numFmtId="6" fontId="2" fillId="2" borderId="13" xfId="0" applyNumberFormat="1" applyFont="1" applyFill="1" applyBorder="1"/>
    <xf numFmtId="6" fontId="1" fillId="2" borderId="12" xfId="0" applyNumberFormat="1" applyFont="1" applyFill="1" applyBorder="1"/>
    <xf numFmtId="6" fontId="1" fillId="2" borderId="8" xfId="0" applyNumberFormat="1" applyFont="1" applyFill="1" applyBorder="1"/>
    <xf numFmtId="6" fontId="1" fillId="2" borderId="2" xfId="0" applyNumberFormat="1" applyFont="1" applyFill="1" applyBorder="1"/>
    <xf numFmtId="0" fontId="3" fillId="2" borderId="0" xfId="0" applyFont="1" applyFill="1" applyAlignment="1">
      <alignment horizontal="center"/>
    </xf>
    <xf numFmtId="6" fontId="2" fillId="2" borderId="14" xfId="0" applyNumberFormat="1" applyFont="1" applyFill="1" applyBorder="1"/>
    <xf numFmtId="0" fontId="2" fillId="2" borderId="13" xfId="0" applyFont="1" applyFill="1" applyBorder="1" applyAlignment="1">
      <alignment horizontal="left"/>
    </xf>
    <xf numFmtId="0" fontId="3" fillId="2" borderId="13" xfId="0" applyFont="1" applyFill="1" applyBorder="1"/>
    <xf numFmtId="6" fontId="3" fillId="2" borderId="13" xfId="0" applyNumberFormat="1" applyFont="1" applyFill="1" applyBorder="1"/>
    <xf numFmtId="8" fontId="1" fillId="2" borderId="1" xfId="0" applyNumberFormat="1" applyFont="1" applyFill="1" applyBorder="1"/>
    <xf numFmtId="168" fontId="1" fillId="2" borderId="1" xfId="0" applyNumberFormat="1" applyFont="1" applyFill="1" applyBorder="1"/>
    <xf numFmtId="8" fontId="1" fillId="2" borderId="10" xfId="0" applyNumberFormat="1" applyFont="1" applyFill="1" applyBorder="1"/>
    <xf numFmtId="168" fontId="1" fillId="2" borderId="10" xfId="0" applyNumberFormat="1" applyFont="1" applyFill="1" applyBorder="1"/>
    <xf numFmtId="0" fontId="1" fillId="2" borderId="15" xfId="0" applyFont="1" applyFill="1" applyBorder="1"/>
    <xf numFmtId="3" fontId="1" fillId="2" borderId="16" xfId="0" applyNumberFormat="1" applyFont="1" applyFill="1" applyBorder="1"/>
    <xf numFmtId="3" fontId="1" fillId="2" borderId="15" xfId="0" applyNumberFormat="1" applyFont="1" applyFill="1" applyBorder="1"/>
    <xf numFmtId="6" fontId="1" fillId="2" borderId="10" xfId="0" applyNumberFormat="1" applyFont="1" applyFill="1" applyBorder="1"/>
    <xf numFmtId="0" fontId="1" fillId="2" borderId="8" xfId="0" applyFont="1" applyFill="1" applyBorder="1"/>
    <xf numFmtId="0" fontId="1" fillId="4" borderId="0" xfId="0" applyFont="1" applyFill="1" applyBorder="1" applyAlignment="1">
      <alignment horizontal="right" vertical="center"/>
    </xf>
    <xf numFmtId="0" fontId="1" fillId="4" borderId="0" xfId="0" applyFont="1" applyFill="1" applyBorder="1"/>
    <xf numFmtId="6" fontId="0" fillId="4" borderId="0" xfId="0" applyNumberFormat="1" applyFont="1" applyFill="1" applyBorder="1"/>
    <xf numFmtId="8" fontId="3" fillId="2" borderId="13" xfId="0" applyNumberFormat="1" applyFont="1" applyFill="1" applyBorder="1"/>
    <xf numFmtId="8" fontId="2" fillId="2" borderId="14" xfId="0" applyNumberFormat="1" applyFont="1" applyFill="1" applyBorder="1"/>
    <xf numFmtId="0" fontId="1" fillId="2" borderId="12" xfId="0" applyFont="1" applyFill="1" applyBorder="1"/>
    <xf numFmtId="168" fontId="1" fillId="2" borderId="4" xfId="0" applyNumberFormat="1" applyFont="1" applyFill="1" applyBorder="1"/>
    <xf numFmtId="168" fontId="1" fillId="2" borderId="12" xfId="0" applyNumberFormat="1" applyFont="1" applyFill="1" applyBorder="1"/>
    <xf numFmtId="6" fontId="1" fillId="2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34"/>
  <sheetViews>
    <sheetView tabSelected="1" topLeftCell="A5" workbookViewId="0">
      <selection activeCell="A27" sqref="A27"/>
    </sheetView>
  </sheetViews>
  <sheetFormatPr defaultRowHeight="15"/>
  <cols>
    <col min="1" max="2" width="36.5703125" bestFit="1" customWidth="1"/>
    <col min="4" max="4" width="24.42578125" bestFit="1" customWidth="1"/>
    <col min="9" max="9" width="36.5703125" bestFit="1" customWidth="1"/>
    <col min="11" max="11" width="10.5703125" bestFit="1" customWidth="1"/>
    <col min="12" max="12" width="36.5703125" bestFit="1" customWidth="1"/>
    <col min="13" max="13" width="26.85546875" bestFit="1" customWidth="1"/>
    <col min="14" max="14" width="11.7109375" bestFit="1" customWidth="1"/>
    <col min="16" max="16" width="20" bestFit="1" customWidth="1"/>
    <col min="17" max="17" width="11.7109375" bestFit="1" customWidth="1"/>
  </cols>
  <sheetData>
    <row r="1" spans="1:95" ht="21">
      <c r="A1" s="48" t="s">
        <v>0</v>
      </c>
      <c r="B1" s="48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  <c r="CM1" s="29"/>
      <c r="CN1" s="29"/>
      <c r="CO1" s="29"/>
      <c r="CP1" s="29"/>
      <c r="CQ1" s="29"/>
    </row>
    <row r="2" spans="1:95">
      <c r="A2" s="49" t="s">
        <v>1</v>
      </c>
      <c r="B2" s="4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  <c r="BW2" s="29"/>
      <c r="BX2" s="29"/>
      <c r="BY2" s="29"/>
      <c r="BZ2" s="29"/>
      <c r="CA2" s="29"/>
      <c r="CB2" s="29"/>
      <c r="CC2" s="29"/>
      <c r="CD2" s="29"/>
      <c r="CE2" s="29"/>
      <c r="CF2" s="29"/>
      <c r="CG2" s="29"/>
      <c r="CH2" s="29"/>
      <c r="CI2" s="29"/>
      <c r="CJ2" s="29"/>
      <c r="CK2" s="29"/>
      <c r="CL2" s="29"/>
      <c r="CM2" s="29"/>
      <c r="CN2" s="29"/>
      <c r="CO2" s="29"/>
      <c r="CP2" s="29"/>
      <c r="CQ2" s="29"/>
    </row>
    <row r="3" spans="1:95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</row>
    <row r="4" spans="1:95" ht="22.5" customHeight="1">
      <c r="A4" s="50" t="s">
        <v>2</v>
      </c>
      <c r="B4" s="50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</row>
    <row r="5" spans="1:9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</row>
    <row r="6" spans="1:95" ht="15.75">
      <c r="A6" s="28" t="s">
        <v>3</v>
      </c>
      <c r="B6" s="26" t="s">
        <v>4</v>
      </c>
      <c r="C6" s="29"/>
      <c r="D6" s="8" t="s">
        <v>5</v>
      </c>
      <c r="E6" s="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</row>
    <row r="7" spans="1:95" ht="15.75">
      <c r="A7" s="28" t="s">
        <v>6</v>
      </c>
      <c r="B7" s="26">
        <v>275000</v>
      </c>
      <c r="C7" s="29"/>
      <c r="D7" s="6" t="s">
        <v>7</v>
      </c>
      <c r="E7" s="23">
        <v>0.03</v>
      </c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</row>
    <row r="8" spans="1:95" ht="15.75">
      <c r="A8" s="28" t="s">
        <v>8</v>
      </c>
      <c r="B8" s="26">
        <v>3000</v>
      </c>
      <c r="C8" s="29"/>
      <c r="D8" s="7" t="s">
        <v>9</v>
      </c>
      <c r="E8" s="23">
        <v>0.01</v>
      </c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</row>
    <row r="9" spans="1:95" ht="15.75">
      <c r="A9" s="28" t="s">
        <v>10</v>
      </c>
      <c r="B9" s="46">
        <f>SUM(K13:K15,K18:K20) * 12</f>
        <v>3804000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29"/>
      <c r="CL9" s="29"/>
      <c r="CM9" s="29"/>
      <c r="CN9" s="29"/>
      <c r="CO9" s="29"/>
      <c r="CP9" s="29"/>
      <c r="CQ9" s="29"/>
    </row>
    <row r="10" spans="1:95" ht="32.25" customHeight="1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  <c r="BR10" s="29"/>
      <c r="BS10" s="29"/>
      <c r="BT10" s="29"/>
      <c r="BU10" s="29"/>
      <c r="BV10" s="29"/>
      <c r="BW10" s="29"/>
      <c r="BX10" s="29"/>
      <c r="BY10" s="29"/>
      <c r="BZ10" s="29"/>
      <c r="CA10" s="29"/>
      <c r="CB10" s="29"/>
      <c r="CC10" s="29"/>
      <c r="CD10" s="29"/>
      <c r="CE10" s="29"/>
      <c r="CF10" s="29"/>
      <c r="CG10" s="29"/>
      <c r="CH10" s="29"/>
      <c r="CI10" s="29"/>
      <c r="CJ10" s="29"/>
      <c r="CK10" s="29"/>
      <c r="CL10" s="29"/>
      <c r="CM10" s="29"/>
      <c r="CN10" s="29"/>
      <c r="CO10" s="29"/>
      <c r="CP10" s="29"/>
      <c r="CQ10" s="29"/>
    </row>
    <row r="11" spans="1:95" ht="15.75">
      <c r="A11" s="10" t="s">
        <v>11</v>
      </c>
      <c r="B11" s="11" t="s">
        <v>12</v>
      </c>
      <c r="C11" s="13">
        <v>2026</v>
      </c>
      <c r="D11" s="11">
        <f>C11+1</f>
        <v>2027</v>
      </c>
      <c r="E11" s="11">
        <f t="shared" ref="E11:G11" si="0">D11+1</f>
        <v>2028</v>
      </c>
      <c r="F11" s="11">
        <f t="shared" si="0"/>
        <v>2029</v>
      </c>
      <c r="G11" s="12">
        <f t="shared" si="0"/>
        <v>2030</v>
      </c>
      <c r="H11" s="29"/>
      <c r="I11" s="47" t="s">
        <v>13</v>
      </c>
      <c r="J11" s="47"/>
      <c r="K11" s="47"/>
      <c r="L11" s="29"/>
      <c r="M11" s="39" t="s">
        <v>14</v>
      </c>
      <c r="N11" s="24">
        <v>2026</v>
      </c>
      <c r="O11" s="29"/>
      <c r="P11" s="39" t="s">
        <v>15</v>
      </c>
      <c r="Q11" s="3"/>
      <c r="R11" s="29"/>
      <c r="S11" s="29"/>
      <c r="T11" s="74"/>
      <c r="U11" s="75"/>
      <c r="V11" s="75"/>
      <c r="W11" s="75"/>
      <c r="X11" s="75"/>
      <c r="Y11" s="75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</row>
    <row r="12" spans="1:95">
      <c r="A12" s="30"/>
      <c r="B12" s="31"/>
      <c r="C12" s="31"/>
      <c r="D12" s="31"/>
      <c r="E12" s="31"/>
      <c r="F12" s="31"/>
      <c r="G12" s="33"/>
      <c r="H12" s="29"/>
      <c r="I12" s="3" t="s">
        <v>16</v>
      </c>
      <c r="J12" s="3"/>
      <c r="K12" s="2"/>
      <c r="L12" s="29"/>
      <c r="M12" s="3" t="s">
        <v>17</v>
      </c>
      <c r="N12" s="40">
        <v>500000</v>
      </c>
      <c r="O12" s="29"/>
      <c r="P12" s="43" t="s">
        <v>18</v>
      </c>
      <c r="Q12" s="3"/>
      <c r="R12" s="29"/>
      <c r="S12" s="29"/>
      <c r="T12" s="75"/>
      <c r="U12" s="76"/>
      <c r="V12" s="76"/>
      <c r="W12" s="76"/>
      <c r="X12" s="76"/>
      <c r="Y12" s="76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29"/>
      <c r="BV12" s="29"/>
      <c r="BW12" s="29"/>
      <c r="BX12" s="29"/>
      <c r="BY12" s="29"/>
      <c r="BZ12" s="29"/>
      <c r="CA12" s="29"/>
      <c r="CB12" s="29"/>
      <c r="CC12" s="29"/>
      <c r="CD12" s="29"/>
      <c r="CE12" s="29"/>
      <c r="CF12" s="29"/>
      <c r="CG12" s="29"/>
      <c r="CH12" s="29"/>
      <c r="CI12" s="29"/>
      <c r="CJ12" s="29"/>
      <c r="CK12" s="29"/>
      <c r="CL12" s="29"/>
      <c r="CM12" s="29"/>
      <c r="CN12" s="29"/>
      <c r="CO12" s="29"/>
      <c r="CP12" s="29"/>
      <c r="CQ12" s="29"/>
    </row>
    <row r="13" spans="1:95" ht="30.75">
      <c r="A13" s="14" t="s">
        <v>16</v>
      </c>
      <c r="B13" s="21"/>
      <c r="C13" s="17"/>
      <c r="D13" s="17"/>
      <c r="E13" s="17"/>
      <c r="F13" s="17"/>
      <c r="G13" s="18"/>
      <c r="H13" s="29"/>
      <c r="I13" s="34" t="str" cm="1">
        <f t="array" ref="I13">rate_structure_1</f>
        <v>Residential water, inside</v>
      </c>
      <c r="J13" s="24" t="s">
        <v>19</v>
      </c>
      <c r="K13" s="38">
        <v>200000</v>
      </c>
      <c r="L13" s="1" t="s">
        <v>20</v>
      </c>
      <c r="M13" s="3" t="s">
        <v>21</v>
      </c>
      <c r="N13" s="40">
        <v>100000</v>
      </c>
      <c r="O13" s="29"/>
      <c r="P13" s="3">
        <v>2026</v>
      </c>
      <c r="Q13" s="44">
        <v>155000</v>
      </c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  <c r="BT13" s="29"/>
      <c r="BU13" s="29"/>
      <c r="BV13" s="29"/>
      <c r="BW13" s="29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29"/>
      <c r="CL13" s="29"/>
      <c r="CM13" s="29"/>
      <c r="CN13" s="29"/>
      <c r="CO13" s="29"/>
      <c r="CP13" s="29"/>
      <c r="CQ13" s="29"/>
    </row>
    <row r="14" spans="1:95">
      <c r="A14" s="22" t="s">
        <v>22</v>
      </c>
      <c r="B14" s="24" t="s">
        <v>23</v>
      </c>
      <c r="C14" s="42">
        <v>22</v>
      </c>
      <c r="D14" s="45">
        <v>25</v>
      </c>
      <c r="E14" s="42">
        <v>25</v>
      </c>
      <c r="F14" s="42">
        <v>25</v>
      </c>
      <c r="G14" s="42">
        <v>25</v>
      </c>
      <c r="H14" s="29"/>
      <c r="I14" s="3"/>
      <c r="J14" s="24" t="s">
        <v>24</v>
      </c>
      <c r="K14" s="38">
        <v>25000</v>
      </c>
      <c r="L14" s="29"/>
      <c r="M14" s="3" t="s">
        <v>25</v>
      </c>
      <c r="N14" s="41">
        <v>65000</v>
      </c>
      <c r="O14" s="29"/>
      <c r="P14" s="3">
        <f>P13+1</f>
        <v>2027</v>
      </c>
      <c r="Q14" s="44">
        <v>155000</v>
      </c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29"/>
      <c r="BV14" s="29"/>
      <c r="BW14" s="29"/>
      <c r="BX14" s="29"/>
      <c r="BY14" s="29"/>
      <c r="BZ14" s="29"/>
      <c r="CA14" s="29"/>
      <c r="CB14" s="29"/>
      <c r="CC14" s="29"/>
      <c r="CD14" s="29"/>
      <c r="CE14" s="29"/>
      <c r="CF14" s="29"/>
      <c r="CG14" s="29"/>
      <c r="CH14" s="29"/>
      <c r="CI14" s="29"/>
      <c r="CJ14" s="29"/>
      <c r="CK14" s="29"/>
      <c r="CL14" s="29"/>
      <c r="CM14" s="29"/>
      <c r="CN14" s="29"/>
      <c r="CO14" s="29"/>
      <c r="CP14" s="29"/>
      <c r="CQ14" s="29"/>
    </row>
    <row r="15" spans="1:95" ht="30.75">
      <c r="A15" s="5" t="s">
        <v>8</v>
      </c>
      <c r="B15" s="25" t="s">
        <v>26</v>
      </c>
      <c r="C15" s="38">
        <v>2000</v>
      </c>
      <c r="D15" s="46">
        <v>2000</v>
      </c>
      <c r="E15" s="38">
        <v>2000</v>
      </c>
      <c r="F15" s="38">
        <v>2000</v>
      </c>
      <c r="G15" s="38">
        <v>2000</v>
      </c>
      <c r="H15" s="29"/>
      <c r="I15" s="3"/>
      <c r="J15" s="24" t="s">
        <v>27</v>
      </c>
      <c r="K15" s="38">
        <v>0</v>
      </c>
      <c r="L15" s="29"/>
      <c r="M15" s="3" t="s">
        <v>28</v>
      </c>
      <c r="N15" s="40">
        <v>85000</v>
      </c>
      <c r="O15" s="29"/>
      <c r="P15" s="3">
        <f>P14+1</f>
        <v>2028</v>
      </c>
      <c r="Q15" s="44">
        <v>165000</v>
      </c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  <c r="CF15" s="29"/>
      <c r="CG15" s="29"/>
      <c r="CH15" s="29"/>
      <c r="CI15" s="29"/>
      <c r="CJ15" s="29"/>
      <c r="CK15" s="29"/>
      <c r="CL15" s="29"/>
      <c r="CM15" s="29"/>
      <c r="CN15" s="29"/>
      <c r="CO15" s="29"/>
      <c r="CP15" s="29"/>
      <c r="CQ15" s="29"/>
    </row>
    <row r="16" spans="1:95">
      <c r="A16" s="51">
        <v>2560</v>
      </c>
      <c r="B16" s="36"/>
      <c r="C16" s="36"/>
      <c r="D16" s="15"/>
      <c r="E16" s="15"/>
      <c r="F16" s="15"/>
      <c r="G16" s="19"/>
      <c r="H16" s="29"/>
      <c r="I16" s="29"/>
      <c r="J16" s="29"/>
      <c r="K16" s="29"/>
      <c r="L16" s="29"/>
      <c r="M16" s="3" t="s">
        <v>29</v>
      </c>
      <c r="N16" s="40">
        <v>74000</v>
      </c>
      <c r="O16" s="29"/>
      <c r="P16" s="3">
        <f t="shared" ref="P16:P18" si="1">P15+1</f>
        <v>2029</v>
      </c>
      <c r="Q16" s="44">
        <v>165000</v>
      </c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</row>
    <row r="17" spans="1:95">
      <c r="A17" s="35"/>
      <c r="B17" s="36"/>
      <c r="C17" s="36"/>
      <c r="D17" s="15"/>
      <c r="E17" s="15"/>
      <c r="F17" s="15"/>
      <c r="G17" s="19"/>
      <c r="H17" s="29"/>
      <c r="I17" s="3" t="s">
        <v>30</v>
      </c>
      <c r="J17" s="3"/>
      <c r="K17" s="2"/>
      <c r="L17" s="29"/>
      <c r="M17" s="3" t="s">
        <v>31</v>
      </c>
      <c r="N17" s="40">
        <v>200000</v>
      </c>
      <c r="O17" s="29"/>
      <c r="P17" s="3">
        <f t="shared" si="1"/>
        <v>2030</v>
      </c>
      <c r="Q17" s="44">
        <v>165000</v>
      </c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  <c r="BW17" s="29"/>
      <c r="BX17" s="29"/>
      <c r="BY17" s="29"/>
      <c r="BZ17" s="29"/>
      <c r="CA17" s="29"/>
      <c r="CB17" s="29"/>
      <c r="CC17" s="29"/>
      <c r="CD17" s="29"/>
      <c r="CE17" s="29"/>
      <c r="CF17" s="29"/>
      <c r="CG17" s="29"/>
      <c r="CH17" s="29"/>
      <c r="CI17" s="29"/>
      <c r="CJ17" s="29"/>
      <c r="CK17" s="29"/>
      <c r="CL17" s="29"/>
      <c r="CM17" s="29"/>
      <c r="CN17" s="29"/>
      <c r="CO17" s="29"/>
      <c r="CP17" s="29"/>
      <c r="CQ17" s="29"/>
    </row>
    <row r="18" spans="1:95">
      <c r="A18" s="35" t="s">
        <v>32</v>
      </c>
      <c r="B18" s="37"/>
      <c r="C18" s="37"/>
      <c r="D18" s="15"/>
      <c r="E18" s="15"/>
      <c r="F18" s="15"/>
      <c r="G18" s="19"/>
      <c r="H18" s="29"/>
      <c r="I18" s="3" t="str" cm="1">
        <f t="array" ref="I18">rate_structure_2</f>
        <v>Residential water, outside</v>
      </c>
      <c r="J18" s="24" t="s">
        <v>19</v>
      </c>
      <c r="K18" s="38">
        <v>72000</v>
      </c>
      <c r="L18" s="29"/>
      <c r="M18" s="3" t="s">
        <v>33</v>
      </c>
      <c r="N18" s="40">
        <v>96000</v>
      </c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  <c r="BR18" s="29"/>
      <c r="BS18" s="29"/>
      <c r="BT18" s="29"/>
      <c r="BU18" s="29"/>
      <c r="BV18" s="29"/>
      <c r="BW18" s="29"/>
      <c r="BX18" s="29"/>
      <c r="BY18" s="29"/>
      <c r="BZ18" s="29"/>
      <c r="CA18" s="29"/>
      <c r="CB18" s="29"/>
      <c r="CC18" s="29"/>
      <c r="CD18" s="29"/>
      <c r="CE18" s="29"/>
      <c r="CF18" s="29"/>
      <c r="CG18" s="29"/>
      <c r="CH18" s="29"/>
      <c r="CI18" s="29"/>
      <c r="CJ18" s="29"/>
      <c r="CK18" s="29"/>
      <c r="CL18" s="29"/>
      <c r="CM18" s="29"/>
      <c r="CN18" s="29"/>
      <c r="CO18" s="29"/>
      <c r="CP18" s="29"/>
      <c r="CQ18" s="29"/>
    </row>
    <row r="19" spans="1:95">
      <c r="A19" s="16">
        <v>3000</v>
      </c>
      <c r="B19" s="24" t="s">
        <v>34</v>
      </c>
      <c r="C19" s="42">
        <v>2</v>
      </c>
      <c r="D19" s="45">
        <v>1.5</v>
      </c>
      <c r="E19" s="42">
        <v>1.75</v>
      </c>
      <c r="F19" s="42">
        <v>1.75</v>
      </c>
      <c r="G19" s="42">
        <v>2</v>
      </c>
      <c r="H19" s="29"/>
      <c r="I19" s="3"/>
      <c r="J19" s="24" t="s">
        <v>24</v>
      </c>
      <c r="K19" s="38">
        <v>20000</v>
      </c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  <c r="CC19" s="29"/>
      <c r="CD19" s="29"/>
      <c r="CE19" s="29"/>
      <c r="CF19" s="29"/>
      <c r="CG19" s="29"/>
      <c r="CH19" s="29"/>
      <c r="CI19" s="29"/>
      <c r="CJ19" s="29"/>
      <c r="CK19" s="29"/>
      <c r="CL19" s="29"/>
      <c r="CM19" s="29"/>
      <c r="CN19" s="29"/>
      <c r="CO19" s="29"/>
      <c r="CP19" s="29"/>
      <c r="CQ19" s="29"/>
    </row>
    <row r="20" spans="1:95">
      <c r="A20" s="27">
        <v>4000</v>
      </c>
      <c r="B20" s="24" t="s">
        <v>35</v>
      </c>
      <c r="C20" s="42">
        <v>2</v>
      </c>
      <c r="D20" s="45">
        <v>2.25</v>
      </c>
      <c r="E20" s="42">
        <v>2.5</v>
      </c>
      <c r="F20" s="42">
        <v>2.5</v>
      </c>
      <c r="G20" s="42">
        <v>2.75</v>
      </c>
      <c r="H20" s="29"/>
      <c r="I20" s="3"/>
      <c r="J20" s="24" t="s">
        <v>27</v>
      </c>
      <c r="K20" s="38">
        <v>0</v>
      </c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</row>
    <row r="21" spans="1:95">
      <c r="A21" s="27">
        <v>5000</v>
      </c>
      <c r="B21" s="24" t="s">
        <v>36</v>
      </c>
      <c r="C21" s="42">
        <v>2</v>
      </c>
      <c r="D21" s="45">
        <v>3.5</v>
      </c>
      <c r="E21" s="42">
        <v>3.75</v>
      </c>
      <c r="F21" s="42">
        <v>3.75</v>
      </c>
      <c r="G21" s="42">
        <v>4</v>
      </c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29"/>
      <c r="CG21" s="29"/>
      <c r="CH21" s="29"/>
      <c r="CI21" s="29"/>
      <c r="CJ21" s="29"/>
      <c r="CK21" s="29"/>
      <c r="CL21" s="29"/>
      <c r="CM21" s="29"/>
      <c r="CN21" s="29"/>
      <c r="CO21" s="29"/>
      <c r="CP21" s="29"/>
      <c r="CQ21" s="29"/>
    </row>
    <row r="22" spans="1:95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29"/>
      <c r="BZ22" s="29"/>
      <c r="CA22" s="29"/>
      <c r="CB22" s="29"/>
      <c r="CC22" s="29"/>
      <c r="CD22" s="29"/>
      <c r="CE22" s="29"/>
      <c r="CF22" s="29"/>
      <c r="CG22" s="29"/>
      <c r="CH22" s="29"/>
      <c r="CI22" s="29"/>
      <c r="CJ22" s="29"/>
      <c r="CK22" s="29"/>
      <c r="CL22" s="29"/>
      <c r="CM22" s="29"/>
      <c r="CN22" s="29"/>
      <c r="CO22" s="29"/>
      <c r="CP22" s="29"/>
      <c r="CQ22" s="29"/>
    </row>
    <row r="23" spans="1:95">
      <c r="A23" s="14" t="s">
        <v>30</v>
      </c>
      <c r="B23" s="20"/>
      <c r="C23" s="17"/>
      <c r="D23" s="17"/>
      <c r="E23" s="17"/>
      <c r="F23" s="17"/>
      <c r="G23" s="18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29"/>
      <c r="BZ23" s="29"/>
      <c r="CA23" s="29"/>
      <c r="CB23" s="29"/>
      <c r="CC23" s="29"/>
      <c r="CD23" s="29"/>
      <c r="CE23" s="29"/>
      <c r="CF23" s="29"/>
      <c r="CG23" s="29"/>
      <c r="CH23" s="29"/>
      <c r="CI23" s="29"/>
      <c r="CJ23" s="29"/>
      <c r="CK23" s="29"/>
      <c r="CL23" s="29"/>
      <c r="CM23" s="29"/>
      <c r="CN23" s="29"/>
      <c r="CO23" s="29"/>
      <c r="CP23" s="29"/>
      <c r="CQ23" s="29"/>
    </row>
    <row r="24" spans="1:95">
      <c r="A24" s="22" t="s">
        <v>37</v>
      </c>
      <c r="B24" s="24" t="s">
        <v>23</v>
      </c>
      <c r="C24" s="42">
        <v>25</v>
      </c>
      <c r="D24" s="45">
        <v>30</v>
      </c>
      <c r="E24" s="42">
        <v>30</v>
      </c>
      <c r="F24" s="42">
        <v>30</v>
      </c>
      <c r="G24" s="42">
        <v>32</v>
      </c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  <c r="BR24" s="29"/>
      <c r="BS24" s="29"/>
      <c r="BT24" s="29"/>
      <c r="BU24" s="29"/>
      <c r="BV24" s="29"/>
      <c r="BW24" s="29"/>
      <c r="BX24" s="29"/>
      <c r="BY24" s="29"/>
      <c r="BZ24" s="29"/>
      <c r="CA24" s="29"/>
      <c r="CB24" s="29"/>
      <c r="CC24" s="29"/>
      <c r="CD24" s="29"/>
      <c r="CE24" s="29"/>
      <c r="CF24" s="29"/>
      <c r="CG24" s="29"/>
      <c r="CH24" s="29"/>
      <c r="CI24" s="29"/>
      <c r="CJ24" s="29"/>
      <c r="CK24" s="29"/>
      <c r="CL24" s="29"/>
      <c r="CM24" s="29"/>
      <c r="CN24" s="29"/>
      <c r="CO24" s="29"/>
      <c r="CP24" s="29"/>
      <c r="CQ24" s="29"/>
    </row>
    <row r="25" spans="1:95" ht="30.75">
      <c r="A25" s="5" t="s">
        <v>8</v>
      </c>
      <c r="B25" s="25" t="s">
        <v>26</v>
      </c>
      <c r="C25" s="4">
        <v>0</v>
      </c>
      <c r="D25" s="26">
        <v>0</v>
      </c>
      <c r="E25" s="4">
        <v>0</v>
      </c>
      <c r="F25" s="4">
        <v>0</v>
      </c>
      <c r="G25" s="4">
        <v>0</v>
      </c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29"/>
      <c r="BZ25" s="29"/>
      <c r="CA25" s="29"/>
      <c r="CB25" s="29"/>
      <c r="CC25" s="29"/>
      <c r="CD25" s="29"/>
      <c r="CE25" s="29"/>
      <c r="CF25" s="29"/>
      <c r="CG25" s="29"/>
      <c r="CH25" s="29"/>
      <c r="CI25" s="29"/>
      <c r="CJ25" s="29"/>
      <c r="CK25" s="29"/>
      <c r="CL25" s="29"/>
      <c r="CM25" s="29"/>
      <c r="CN25" s="29"/>
      <c r="CO25" s="29"/>
      <c r="CP25" s="29"/>
      <c r="CQ25" s="29"/>
    </row>
    <row r="26" spans="1:95">
      <c r="A26" s="51">
        <v>440</v>
      </c>
      <c r="B26" s="36"/>
      <c r="C26" s="36"/>
      <c r="D26" s="15"/>
      <c r="E26" s="15"/>
      <c r="F26" s="15"/>
      <c r="G26" s="1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  <c r="CE26" s="29"/>
      <c r="CF26" s="29"/>
      <c r="CG26" s="29"/>
      <c r="CH26" s="29"/>
      <c r="CI26" s="29"/>
      <c r="CJ26" s="29"/>
      <c r="CK26" s="29"/>
      <c r="CL26" s="29"/>
      <c r="CM26" s="29"/>
      <c r="CN26" s="29"/>
      <c r="CO26" s="29"/>
      <c r="CP26" s="29"/>
      <c r="CQ26" s="29"/>
    </row>
    <row r="27" spans="1:95">
      <c r="A27" s="35"/>
      <c r="B27" s="36"/>
      <c r="C27" s="36"/>
      <c r="D27" s="15"/>
      <c r="E27" s="15"/>
      <c r="F27" s="15"/>
      <c r="G27" s="1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29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</row>
    <row r="28" spans="1:95">
      <c r="A28" s="35" t="s">
        <v>32</v>
      </c>
      <c r="B28" s="37"/>
      <c r="C28" s="37"/>
      <c r="D28" s="15"/>
      <c r="E28" s="15"/>
      <c r="F28" s="15"/>
      <c r="G28" s="1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9"/>
      <c r="CN28" s="29"/>
      <c r="CO28" s="29"/>
      <c r="CP28" s="29"/>
      <c r="CQ28" s="29"/>
    </row>
    <row r="29" spans="1:95">
      <c r="A29" s="16">
        <v>5000</v>
      </c>
      <c r="B29" s="24" t="s">
        <v>34</v>
      </c>
      <c r="C29" s="45">
        <v>3</v>
      </c>
      <c r="D29" s="42">
        <v>2.5</v>
      </c>
      <c r="E29" s="42">
        <v>3.75</v>
      </c>
      <c r="F29" s="42">
        <v>3.75</v>
      </c>
      <c r="G29" s="42">
        <v>4</v>
      </c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29"/>
      <c r="BN29" s="29"/>
      <c r="BO29" s="29"/>
      <c r="BP29" s="29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  <c r="CE29" s="29"/>
      <c r="CF29" s="29"/>
      <c r="CG29" s="29"/>
      <c r="CH29" s="29"/>
      <c r="CI29" s="29"/>
      <c r="CJ29" s="29"/>
      <c r="CK29" s="29"/>
      <c r="CL29" s="29"/>
      <c r="CM29" s="29"/>
      <c r="CN29" s="29"/>
      <c r="CO29" s="29"/>
      <c r="CP29" s="29"/>
      <c r="CQ29" s="29"/>
    </row>
    <row r="30" spans="1:95">
      <c r="A30" s="27">
        <v>10000</v>
      </c>
      <c r="B30" s="24" t="s">
        <v>35</v>
      </c>
      <c r="C30" s="45">
        <v>3</v>
      </c>
      <c r="D30" s="42">
        <v>3.25</v>
      </c>
      <c r="E30" s="42">
        <v>3.5</v>
      </c>
      <c r="F30" s="42">
        <v>3.5</v>
      </c>
      <c r="G30" s="42">
        <v>3.75</v>
      </c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29"/>
      <c r="CG30" s="29"/>
      <c r="CH30" s="29"/>
      <c r="CI30" s="29"/>
      <c r="CJ30" s="29"/>
      <c r="CK30" s="29"/>
      <c r="CL30" s="29"/>
      <c r="CM30" s="29"/>
      <c r="CN30" s="29"/>
      <c r="CO30" s="29"/>
      <c r="CP30" s="29"/>
      <c r="CQ30" s="29"/>
    </row>
    <row r="31" spans="1:95">
      <c r="A31" s="27"/>
      <c r="B31" s="24" t="s">
        <v>36</v>
      </c>
      <c r="C31" s="45"/>
      <c r="D31" s="42"/>
      <c r="E31" s="42"/>
      <c r="F31" s="42"/>
      <c r="G31" s="42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</row>
    <row r="32" spans="1:95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</row>
    <row r="33" spans="1:12">
      <c r="A33" s="32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</row>
    <row r="34" spans="1:12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</row>
  </sheetData>
  <mergeCells count="4">
    <mergeCell ref="I11:K11"/>
    <mergeCell ref="A1:B1"/>
    <mergeCell ref="A2:B2"/>
    <mergeCell ref="A4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D50A9-0884-44AC-8AA5-5AA892507CF5}">
  <dimension ref="A1:L37"/>
  <sheetViews>
    <sheetView workbookViewId="0">
      <selection activeCell="H15" sqref="H15"/>
    </sheetView>
  </sheetViews>
  <sheetFormatPr defaultRowHeight="15"/>
  <cols>
    <col min="1" max="1" width="30" bestFit="1" customWidth="1"/>
    <col min="2" max="6" width="14.7109375" bestFit="1" customWidth="1"/>
  </cols>
  <sheetData>
    <row r="1" spans="1:12" ht="18.75">
      <c r="A1" s="53" t="s">
        <v>38</v>
      </c>
      <c r="B1" s="53"/>
      <c r="C1" s="53"/>
      <c r="D1" s="53"/>
      <c r="E1" s="53"/>
      <c r="F1" s="29"/>
      <c r="G1" s="29"/>
      <c r="H1" s="29"/>
      <c r="I1" s="29"/>
      <c r="J1" s="29"/>
      <c r="K1" s="29"/>
      <c r="L1" s="29"/>
    </row>
    <row r="2" spans="1:12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</row>
    <row r="3" spans="1:12">
      <c r="A3" s="52" t="s">
        <v>16</v>
      </c>
      <c r="B3" s="3"/>
      <c r="C3" s="3"/>
      <c r="D3" s="3"/>
      <c r="E3" s="3"/>
      <c r="F3" s="3"/>
      <c r="G3" s="29"/>
      <c r="H3" s="29"/>
      <c r="I3" s="29"/>
      <c r="J3" s="29"/>
      <c r="K3" s="29"/>
      <c r="L3" s="29"/>
    </row>
    <row r="4" spans="1:12">
      <c r="A4" s="73" t="s">
        <v>18</v>
      </c>
      <c r="B4" s="24">
        <v>2026</v>
      </c>
      <c r="C4" s="24">
        <f>B4+1</f>
        <v>2027</v>
      </c>
      <c r="D4" s="24">
        <f t="shared" ref="D4:F4" si="0">C4+1</f>
        <v>2028</v>
      </c>
      <c r="E4" s="24">
        <f t="shared" si="0"/>
        <v>2029</v>
      </c>
      <c r="F4" s="24">
        <f t="shared" si="0"/>
        <v>2030</v>
      </c>
      <c r="G4" s="29"/>
      <c r="H4" s="29"/>
      <c r="I4" s="29"/>
      <c r="J4" s="29"/>
      <c r="K4" s="29"/>
      <c r="L4" s="29"/>
    </row>
    <row r="5" spans="1:12">
      <c r="A5" s="24" t="s">
        <v>39</v>
      </c>
      <c r="B5" s="70" cm="1">
        <f t="array" ref="B5">num_accountsRS1</f>
        <v>2560</v>
      </c>
      <c r="C5" s="71" cm="1">
        <f t="array" ref="C5">ROUND(B5*(1+pop_growth_rate),0)</f>
        <v>2586</v>
      </c>
      <c r="D5" s="71" cm="1">
        <f t="array" ref="D5">ROUND(C5*(1+pop_growth_rate),0)</f>
        <v>2612</v>
      </c>
      <c r="E5" s="71" cm="1">
        <f t="array" ref="E5">ROUND(D5*(1+pop_growth_rate),0)</f>
        <v>2638</v>
      </c>
      <c r="F5" s="71" cm="1">
        <f t="array" ref="F5">ROUND(E5*(1+pop_growth_rate),0)</f>
        <v>2664</v>
      </c>
      <c r="G5" s="29"/>
      <c r="H5" s="29"/>
      <c r="I5" s="29"/>
      <c r="J5" s="29"/>
      <c r="K5" s="29"/>
      <c r="L5" s="29"/>
    </row>
    <row r="6" spans="1:12">
      <c r="A6" s="24" t="s">
        <v>40</v>
      </c>
      <c r="B6" s="67" cm="1">
        <f t="array" ref="B6:F6">base_chargeRS1 * 12 * RS1_num_accounts</f>
        <v>675840</v>
      </c>
      <c r="C6" s="65">
        <v>775800</v>
      </c>
      <c r="D6" s="65">
        <v>783600</v>
      </c>
      <c r="E6" s="65">
        <v>791400</v>
      </c>
      <c r="F6" s="65">
        <v>799200</v>
      </c>
      <c r="G6" s="29"/>
      <c r="H6" s="29"/>
      <c r="I6" s="29"/>
      <c r="J6" s="29"/>
      <c r="K6" s="29"/>
      <c r="L6" s="29"/>
    </row>
    <row r="7" spans="1:12">
      <c r="A7" s="24" t="s">
        <v>41</v>
      </c>
      <c r="B7" s="72" cm="1">
        <f t="array" ref="B7:B9">RS1_block_consumption * RS1_vrates2026</f>
        <v>400000</v>
      </c>
      <c r="C7" s="54" cm="1">
        <f t="array" ref="C7:C9">RS1_block_consumption * RS1_vrates2027</f>
        <v>300000</v>
      </c>
      <c r="D7" s="54" cm="1">
        <f t="array" ref="D7:D9">RS1_block_consumption * RS1_vrates2028</f>
        <v>350000</v>
      </c>
      <c r="E7" s="54" cm="1">
        <f t="array" ref="E7:E9">RS1_block_consumption * RS1_vrates2029</f>
        <v>350000</v>
      </c>
      <c r="F7" s="54" cm="1">
        <f t="array" ref="F7:F9">RS1_block_consumption * RS1_vrates2030</f>
        <v>400000</v>
      </c>
      <c r="G7" s="29"/>
      <c r="H7" s="29"/>
      <c r="I7" s="29"/>
      <c r="J7" s="29"/>
      <c r="K7" s="29"/>
      <c r="L7" s="29"/>
    </row>
    <row r="8" spans="1:12">
      <c r="A8" s="24" t="s">
        <v>42</v>
      </c>
      <c r="B8" s="72">
        <v>50000</v>
      </c>
      <c r="C8" s="54">
        <v>56250</v>
      </c>
      <c r="D8" s="54">
        <v>62500</v>
      </c>
      <c r="E8" s="54">
        <v>62500</v>
      </c>
      <c r="F8" s="54">
        <v>68750</v>
      </c>
      <c r="G8" s="29"/>
      <c r="H8" s="29"/>
      <c r="I8" s="29"/>
      <c r="J8" s="29"/>
      <c r="K8" s="29"/>
      <c r="L8" s="29"/>
    </row>
    <row r="9" spans="1:12">
      <c r="A9" s="79" t="s">
        <v>43</v>
      </c>
      <c r="B9" s="82">
        <v>0</v>
      </c>
      <c r="C9" s="57">
        <v>0</v>
      </c>
      <c r="D9" s="57">
        <v>0</v>
      </c>
      <c r="E9" s="57">
        <v>0</v>
      </c>
      <c r="F9" s="57">
        <v>0</v>
      </c>
      <c r="G9" s="29"/>
      <c r="H9" s="29"/>
      <c r="I9" s="29"/>
      <c r="J9" s="29"/>
      <c r="K9" s="29"/>
      <c r="L9" s="29"/>
    </row>
    <row r="10" spans="1:12">
      <c r="A10" s="55" t="s">
        <v>44</v>
      </c>
      <c r="B10" s="78">
        <f>SUM(B6:B9)</f>
        <v>1125840</v>
      </c>
      <c r="C10" s="78">
        <f t="shared" ref="C10:F10" si="1">SUM(C6:C9)</f>
        <v>1132050</v>
      </c>
      <c r="D10" s="78">
        <f t="shared" si="1"/>
        <v>1196100</v>
      </c>
      <c r="E10" s="78">
        <f t="shared" si="1"/>
        <v>1203900</v>
      </c>
      <c r="F10" s="78">
        <f t="shared" si="1"/>
        <v>1267950</v>
      </c>
      <c r="G10" s="29"/>
      <c r="H10" s="29"/>
      <c r="I10" s="29"/>
      <c r="J10" s="29"/>
      <c r="K10" s="29"/>
      <c r="L10" s="29"/>
    </row>
    <row r="11" spans="1:12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</row>
    <row r="12" spans="1:12">
      <c r="A12" s="52" t="s">
        <v>30</v>
      </c>
      <c r="B12" s="3"/>
      <c r="C12" s="3"/>
      <c r="D12" s="3"/>
      <c r="E12" s="3"/>
      <c r="F12" s="3"/>
      <c r="G12" s="29"/>
      <c r="H12" s="29"/>
      <c r="I12" s="29"/>
      <c r="J12" s="29"/>
      <c r="K12" s="29"/>
      <c r="L12" s="29"/>
    </row>
    <row r="13" spans="1:12">
      <c r="A13" s="24" t="s">
        <v>18</v>
      </c>
      <c r="B13" s="24">
        <v>2026</v>
      </c>
      <c r="C13" s="24">
        <f>B13+1</f>
        <v>2027</v>
      </c>
      <c r="D13" s="24">
        <f t="shared" ref="D13:F13" si="2">C13+1</f>
        <v>2028</v>
      </c>
      <c r="E13" s="24">
        <f t="shared" si="2"/>
        <v>2029</v>
      </c>
      <c r="F13" s="24">
        <f t="shared" si="2"/>
        <v>2030</v>
      </c>
      <c r="G13" s="29"/>
      <c r="H13" s="29"/>
      <c r="I13" s="29"/>
      <c r="J13" s="29"/>
      <c r="K13" s="29"/>
      <c r="L13" s="29"/>
    </row>
    <row r="14" spans="1:12">
      <c r="A14" s="69" t="s">
        <v>39</v>
      </c>
      <c r="B14" s="70" cm="1">
        <f t="array" ref="B14">num_accountsRS2</f>
        <v>440</v>
      </c>
      <c r="C14" s="71" cm="1">
        <f t="array" ref="C14">ROUND(B14*(1+pop_growth_rate),0)</f>
        <v>444</v>
      </c>
      <c r="D14" s="71" cm="1">
        <f t="array" ref="D14">ROUND(C14*(1+pop_growth_rate),0)</f>
        <v>448</v>
      </c>
      <c r="E14" s="71" cm="1">
        <f t="array" ref="E14">ROUND(D14*(1+pop_growth_rate),0)</f>
        <v>452</v>
      </c>
      <c r="F14" s="71" cm="1">
        <f t="array" ref="F14">ROUND(E14*(1+pop_growth_rate),0)</f>
        <v>457</v>
      </c>
      <c r="G14" s="29"/>
      <c r="H14" s="29"/>
      <c r="I14" s="29"/>
      <c r="J14" s="29"/>
      <c r="K14" s="29"/>
      <c r="L14" s="29"/>
    </row>
    <row r="15" spans="1:12">
      <c r="A15" s="24" t="s">
        <v>40</v>
      </c>
      <c r="B15" s="67" cm="1">
        <f t="array" ref="B15:F15">base_chargeRS2 * 12 * RS2_num_accounts</f>
        <v>132000</v>
      </c>
      <c r="C15" s="65">
        <v>159840</v>
      </c>
      <c r="D15" s="65">
        <v>161280</v>
      </c>
      <c r="E15" s="65">
        <v>162720</v>
      </c>
      <c r="F15" s="65">
        <v>175488</v>
      </c>
      <c r="G15" s="29"/>
      <c r="H15" s="29"/>
      <c r="I15" s="29"/>
      <c r="J15" s="29"/>
      <c r="K15" s="29"/>
      <c r="L15" s="29"/>
    </row>
    <row r="16" spans="1:12">
      <c r="A16" s="24" t="s">
        <v>41</v>
      </c>
      <c r="B16" s="68" cm="1">
        <f t="array" ref="B16:B18">RS2_block_consumption * RS1_vrates2026</f>
        <v>144000</v>
      </c>
      <c r="C16" s="66" cm="1">
        <f t="array" ref="C16:C18">RS2_block_consumption * RS1_vrates2027</f>
        <v>108000</v>
      </c>
      <c r="D16" s="66" cm="1">
        <f t="array" ref="D16:D18">RS2_block_consumption * RS1_vrates2028</f>
        <v>126000</v>
      </c>
      <c r="E16" s="66" cm="1">
        <f t="array" ref="E16:E18">RS2_block_consumption * RS1_vrates2029</f>
        <v>126000</v>
      </c>
      <c r="F16" s="66" cm="1">
        <f t="array" ref="F16:F18">RS2_block_consumption * RS1_vrates2030</f>
        <v>144000</v>
      </c>
      <c r="G16" s="29"/>
      <c r="H16" s="29"/>
      <c r="I16" s="29"/>
      <c r="J16" s="29"/>
      <c r="K16" s="29"/>
      <c r="L16" s="29"/>
    </row>
    <row r="17" spans="1:12">
      <c r="A17" s="24" t="s">
        <v>42</v>
      </c>
      <c r="B17" s="68">
        <v>40000</v>
      </c>
      <c r="C17" s="66">
        <v>45000</v>
      </c>
      <c r="D17" s="66">
        <v>50000</v>
      </c>
      <c r="E17" s="66">
        <v>50000</v>
      </c>
      <c r="F17" s="66">
        <v>55000</v>
      </c>
      <c r="G17" s="29"/>
      <c r="H17" s="29"/>
      <c r="I17" s="29"/>
      <c r="J17" s="29"/>
      <c r="K17" s="29"/>
      <c r="L17" s="29"/>
    </row>
    <row r="18" spans="1:12">
      <c r="A18" s="79" t="s">
        <v>43</v>
      </c>
      <c r="B18" s="80">
        <v>0</v>
      </c>
      <c r="C18" s="81">
        <v>0</v>
      </c>
      <c r="D18" s="81">
        <v>0</v>
      </c>
      <c r="E18" s="81">
        <v>0</v>
      </c>
      <c r="F18" s="81">
        <v>0</v>
      </c>
      <c r="G18" s="29"/>
      <c r="H18" s="29"/>
      <c r="I18" s="29"/>
      <c r="J18" s="29"/>
      <c r="K18" s="29"/>
      <c r="L18" s="29"/>
    </row>
    <row r="19" spans="1:12">
      <c r="A19" s="55" t="s">
        <v>45</v>
      </c>
      <c r="B19" s="78">
        <f>SUM(B15:B18)</f>
        <v>316000</v>
      </c>
      <c r="C19" s="78">
        <f t="shared" ref="C19:F19" si="3">SUM(C15:C18)</f>
        <v>312840</v>
      </c>
      <c r="D19" s="78">
        <f t="shared" si="3"/>
        <v>337280</v>
      </c>
      <c r="E19" s="78">
        <f t="shared" si="3"/>
        <v>338720</v>
      </c>
      <c r="F19" s="78">
        <f t="shared" si="3"/>
        <v>374488</v>
      </c>
      <c r="G19" s="29"/>
      <c r="H19" s="29"/>
      <c r="I19" s="29"/>
      <c r="J19" s="29"/>
      <c r="K19" s="29"/>
      <c r="L19" s="29"/>
    </row>
    <row r="20" spans="1:12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</row>
    <row r="21" spans="1:12" ht="15.75">
      <c r="A21" s="63" t="s">
        <v>46</v>
      </c>
      <c r="B21" s="77">
        <f>SUM(B19+B10)</f>
        <v>1441840</v>
      </c>
      <c r="C21" s="77">
        <f t="shared" ref="C21:F21" si="4">SUM(C19+C10)</f>
        <v>1444890</v>
      </c>
      <c r="D21" s="77">
        <f t="shared" si="4"/>
        <v>1533380</v>
      </c>
      <c r="E21" s="77">
        <f t="shared" si="4"/>
        <v>1542620</v>
      </c>
      <c r="F21" s="77">
        <f t="shared" si="4"/>
        <v>1642438</v>
      </c>
      <c r="G21" s="29"/>
      <c r="H21" s="29"/>
      <c r="I21" s="29"/>
      <c r="J21" s="29"/>
      <c r="K21" s="29"/>
      <c r="L21" s="29"/>
    </row>
    <row r="22" spans="1:1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</row>
    <row r="23" spans="1:12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</row>
    <row r="24" spans="1:12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</row>
    <row r="25" spans="1:12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</row>
    <row r="26" spans="1:12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</row>
    <row r="27" spans="1:12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</row>
    <row r="28" spans="1:12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</row>
    <row r="29" spans="1:12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</row>
    <row r="30" spans="1:12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</row>
    <row r="31" spans="1:12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</row>
    <row r="32" spans="1:12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</row>
    <row r="33" spans="1:12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</row>
    <row r="34" spans="1:12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</row>
    <row r="35" spans="1:12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</row>
    <row r="36" spans="1:12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</row>
    <row r="37" spans="1:12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4F15-E799-41AA-BBC0-A7B3D8B94A35}">
  <dimension ref="A1:Q27"/>
  <sheetViews>
    <sheetView workbookViewId="0">
      <selection activeCell="C22" sqref="C22"/>
    </sheetView>
  </sheetViews>
  <sheetFormatPr defaultRowHeight="15"/>
  <cols>
    <col min="1" max="1" width="30.5703125" bestFit="1" customWidth="1"/>
    <col min="2" max="2" width="11.85546875" bestFit="1" customWidth="1"/>
    <col min="3" max="6" width="12.140625" bestFit="1" customWidth="1"/>
    <col min="7" max="7" width="22.28515625" bestFit="1" customWidth="1"/>
  </cols>
  <sheetData>
    <row r="1" spans="1:17" ht="18.75">
      <c r="A1" s="53" t="s">
        <v>47</v>
      </c>
      <c r="B1" s="53"/>
      <c r="C1" s="53"/>
      <c r="D1" s="53"/>
      <c r="E1" s="53"/>
      <c r="F1" s="53"/>
      <c r="G1" s="53"/>
      <c r="H1" s="29"/>
      <c r="I1" s="29"/>
      <c r="J1" s="29"/>
      <c r="K1" s="29"/>
      <c r="L1" s="29"/>
      <c r="M1" s="29"/>
      <c r="N1" s="29"/>
      <c r="O1" s="29"/>
      <c r="P1" s="29"/>
      <c r="Q1" s="29"/>
    </row>
    <row r="2" spans="1:17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</row>
    <row r="3" spans="1:17" ht="15.75">
      <c r="A3" s="60" t="s">
        <v>48</v>
      </c>
      <c r="B3" s="60"/>
      <c r="C3" s="60"/>
      <c r="D3" s="60"/>
      <c r="E3" s="60"/>
      <c r="F3" s="6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</row>
    <row r="4" spans="1:17">
      <c r="A4" s="3" t="s">
        <v>18</v>
      </c>
      <c r="B4" s="3">
        <v>2026</v>
      </c>
      <c r="C4" s="3">
        <f>B4+1</f>
        <v>2027</v>
      </c>
      <c r="D4" s="3">
        <f t="shared" ref="D4:F4" si="0">C4+1</f>
        <v>2028</v>
      </c>
      <c r="E4" s="3">
        <f t="shared" si="0"/>
        <v>2029</v>
      </c>
      <c r="F4" s="3">
        <f t="shared" si="0"/>
        <v>2030</v>
      </c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</row>
    <row r="5" spans="1:17">
      <c r="A5" s="3" t="s">
        <v>17</v>
      </c>
      <c r="B5" s="58" cm="1">
        <f t="array" ref="B5:B11">expenses_value</f>
        <v>500000</v>
      </c>
      <c r="C5" s="54" cm="1">
        <f t="array" ref="C5">ROUND(B5*(1+inflation_rate),0)</f>
        <v>515000</v>
      </c>
      <c r="D5" s="54" cm="1">
        <f t="array" ref="D5">ROUND(C5*(1+inflation_rate),0)</f>
        <v>530450</v>
      </c>
      <c r="E5" s="54" cm="1">
        <f t="array" ref="E5">ROUND(D5*(1+inflation_rate),0)</f>
        <v>546364</v>
      </c>
      <c r="F5" s="54" cm="1">
        <f t="array" ref="F5">ROUND(E5*(1+inflation_rate),0)</f>
        <v>562755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6" spans="1:17">
      <c r="A6" s="3" t="s">
        <v>21</v>
      </c>
      <c r="B6" s="58">
        <v>100000</v>
      </c>
      <c r="C6" s="54" cm="1">
        <f t="array" ref="C6">ROUND(B6*(1+inflation_rate),0)</f>
        <v>103000</v>
      </c>
      <c r="D6" s="54" cm="1">
        <f t="array" ref="D6">ROUND(C6*(1+inflation_rate),0)</f>
        <v>106090</v>
      </c>
      <c r="E6" s="54" cm="1">
        <f t="array" ref="E6">ROUND(D6*(1+inflation_rate),0)</f>
        <v>109273</v>
      </c>
      <c r="F6" s="54" cm="1">
        <f t="array" ref="F6">ROUND(E6*(1+inflation_rate),0)</f>
        <v>112551</v>
      </c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</row>
    <row r="7" spans="1:17">
      <c r="A7" s="3" t="s">
        <v>25</v>
      </c>
      <c r="B7" s="59">
        <v>65000</v>
      </c>
      <c r="C7" s="54" cm="1">
        <f t="array" ref="C7">ROUND(B7*(1+inflation_rate),0)</f>
        <v>66950</v>
      </c>
      <c r="D7" s="54" cm="1">
        <f t="array" ref="D7">ROUND(C7*(1+inflation_rate),0)</f>
        <v>68959</v>
      </c>
      <c r="E7" s="54" cm="1">
        <f t="array" ref="E7">ROUND(D7*(1+inflation_rate),0)</f>
        <v>71028</v>
      </c>
      <c r="F7" s="54" cm="1">
        <f t="array" ref="F7">ROUND(E7*(1+inflation_rate),0)</f>
        <v>73159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</row>
    <row r="8" spans="1:17">
      <c r="A8" s="3" t="s">
        <v>28</v>
      </c>
      <c r="B8" s="58">
        <v>85000</v>
      </c>
      <c r="C8" s="54" cm="1">
        <f t="array" ref="C8">ROUND(B8*(1+inflation_rate),0)</f>
        <v>87550</v>
      </c>
      <c r="D8" s="54" cm="1">
        <f t="array" ref="D8">ROUND(C8*(1+inflation_rate),0)</f>
        <v>90177</v>
      </c>
      <c r="E8" s="54" cm="1">
        <f t="array" ref="E8">ROUND(D8*(1+inflation_rate),0)</f>
        <v>92882</v>
      </c>
      <c r="F8" s="54" cm="1">
        <f t="array" ref="F8">ROUND(E8*(1+inflation_rate),0)</f>
        <v>95668</v>
      </c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</row>
    <row r="9" spans="1:17">
      <c r="A9" s="3" t="s">
        <v>29</v>
      </c>
      <c r="B9" s="58">
        <v>74000</v>
      </c>
      <c r="C9" s="54" cm="1">
        <f t="array" ref="C9">ROUND(B9*(1+inflation_rate),0)</f>
        <v>76220</v>
      </c>
      <c r="D9" s="54" cm="1">
        <f t="array" ref="D9">ROUND(C9*(1+inflation_rate),0)</f>
        <v>78507</v>
      </c>
      <c r="E9" s="54" cm="1">
        <f t="array" ref="E9">ROUND(D9*(1+inflation_rate),0)</f>
        <v>80862</v>
      </c>
      <c r="F9" s="54" cm="1">
        <f t="array" ref="F9">ROUND(E9*(1+inflation_rate),0)</f>
        <v>83288</v>
      </c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</row>
    <row r="10" spans="1:17">
      <c r="A10" s="3" t="s">
        <v>31</v>
      </c>
      <c r="B10" s="58">
        <v>200000</v>
      </c>
      <c r="C10" s="54" cm="1">
        <f t="array" ref="C10">ROUND(B10*(1+inflation_rate),0)</f>
        <v>206000</v>
      </c>
      <c r="D10" s="54" cm="1">
        <f t="array" ref="D10">ROUND(C10*(1+inflation_rate),0)</f>
        <v>212180</v>
      </c>
      <c r="E10" s="54" cm="1">
        <f t="array" ref="E10">ROUND(D10*(1+inflation_rate),0)</f>
        <v>218545</v>
      </c>
      <c r="F10" s="54" cm="1">
        <f t="array" ref="F10">ROUND(E10*(1+inflation_rate),0)</f>
        <v>225101</v>
      </c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</row>
    <row r="11" spans="1:17">
      <c r="A11" s="3" t="s">
        <v>33</v>
      </c>
      <c r="B11" s="59">
        <v>96000</v>
      </c>
      <c r="C11" s="57" cm="1">
        <f t="array" ref="C11">ROUND(B11*(1+inflation_rate),0)</f>
        <v>98880</v>
      </c>
      <c r="D11" s="57" cm="1">
        <f t="array" ref="D11">ROUND(C11*(1+inflation_rate),0)</f>
        <v>101846</v>
      </c>
      <c r="E11" s="57" cm="1">
        <f t="array" ref="E11">ROUND(D11*(1+inflation_rate),0)</f>
        <v>104901</v>
      </c>
      <c r="F11" s="57" cm="1">
        <f t="array" ref="F11">ROUND(E11*(1+inflation_rate),0)</f>
        <v>108048</v>
      </c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</row>
    <row r="12" spans="1:17">
      <c r="A12" s="55" t="s">
        <v>49</v>
      </c>
      <c r="B12" s="56">
        <f>SUM(B5:B11)</f>
        <v>1120000</v>
      </c>
      <c r="C12" s="56">
        <f t="shared" ref="C12:F12" si="1">SUM(C5:C11)</f>
        <v>1153600</v>
      </c>
      <c r="D12" s="56">
        <f t="shared" si="1"/>
        <v>1188209</v>
      </c>
      <c r="E12" s="56">
        <f t="shared" si="1"/>
        <v>1223855</v>
      </c>
      <c r="F12" s="56">
        <f t="shared" si="1"/>
        <v>1260570</v>
      </c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</row>
    <row r="13" spans="1:17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</row>
    <row r="14" spans="1:17" ht="15.75">
      <c r="A14" s="60" t="s">
        <v>50</v>
      </c>
      <c r="B14" s="60"/>
      <c r="C14" s="60"/>
      <c r="D14" s="60"/>
      <c r="E14" s="60"/>
      <c r="F14" s="60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</row>
    <row r="15" spans="1:17">
      <c r="A15" s="43" t="s">
        <v>18</v>
      </c>
      <c r="B15" s="3">
        <v>2026</v>
      </c>
      <c r="C15" s="3">
        <f>B15+1</f>
        <v>2027</v>
      </c>
      <c r="D15" s="3">
        <f>C15+1</f>
        <v>2028</v>
      </c>
      <c r="E15" s="3">
        <f>D15+1</f>
        <v>2029</v>
      </c>
      <c r="F15" s="3">
        <f>E15+1</f>
        <v>2030</v>
      </c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</row>
    <row r="16" spans="1:17">
      <c r="A16" s="62" t="s">
        <v>50</v>
      </c>
      <c r="B16" s="61">
        <v>155000</v>
      </c>
      <c r="C16" s="61">
        <v>155000</v>
      </c>
      <c r="D16" s="61">
        <v>165000</v>
      </c>
      <c r="E16" s="61">
        <v>165000</v>
      </c>
      <c r="F16" s="61">
        <v>165000</v>
      </c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</row>
    <row r="17" spans="1: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</row>
    <row r="18" spans="1:17" ht="15.75">
      <c r="A18" s="63" t="s">
        <v>51</v>
      </c>
      <c r="B18" s="64">
        <f>SUM(B16+B12)</f>
        <v>1275000</v>
      </c>
      <c r="C18" s="64">
        <f t="shared" ref="C18:F18" si="2">SUM(C16+C12)</f>
        <v>1308600</v>
      </c>
      <c r="D18" s="64">
        <f t="shared" si="2"/>
        <v>1353209</v>
      </c>
      <c r="E18" s="64">
        <f t="shared" si="2"/>
        <v>1388855</v>
      </c>
      <c r="F18" s="64">
        <f t="shared" si="2"/>
        <v>1425570</v>
      </c>
      <c r="G18" s="29" t="s">
        <v>52</v>
      </c>
      <c r="H18" s="29"/>
      <c r="I18" s="29"/>
      <c r="J18" s="29"/>
      <c r="K18" s="29"/>
      <c r="L18" s="29"/>
      <c r="M18" s="29"/>
      <c r="N18" s="29"/>
      <c r="O18" s="29"/>
      <c r="P18" s="29"/>
      <c r="Q18" s="29"/>
    </row>
    <row r="19" spans="1:17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</row>
    <row r="20" spans="1:17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</row>
    <row r="21" spans="1:17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</row>
    <row r="22" spans="1:17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</row>
    <row r="23" spans="1:17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</row>
    <row r="24" spans="1:17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</row>
    <row r="25" spans="1:17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</row>
    <row r="26" spans="1:17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</row>
    <row r="27" spans="1:1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</row>
  </sheetData>
  <mergeCells count="3">
    <mergeCell ref="A1:G1"/>
    <mergeCell ref="A3:F3"/>
    <mergeCell ref="A14:F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2026-05-29T02:32:54Z</dcterms:created>
  <dcterms:modified xsi:type="dcterms:W3CDTF">2026-05-29T20:07:47Z</dcterms:modified>
  <cp:category/>
  <cp:contentStatus/>
</cp:coreProperties>
</file>