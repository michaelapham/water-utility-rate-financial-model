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D5C81001-1335-4B7E-A2FE-B93793A31B10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Inputs" sheetId="1" r:id="rId1"/>
    <sheet name="Revenue_Model" sheetId="2" r:id="rId2"/>
    <sheet name="Expense_Model" sheetId="3" r:id="rId3"/>
  </sheets>
  <definedNames>
    <definedName name="base_chargeRS1">Inputs!$C$14:$G$14</definedName>
    <definedName name="base_chargeRS2">Inputs!$C$24:$G$24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lock_consumption">Inputs!$K$13:$K$15</definedName>
    <definedName name="RS1_num_accounts">Revenue_Model!$B$5:$F$5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lock_consumption">Inputs!$K$18:$K$20</definedName>
    <definedName name="RS2_num_accounts">Revenue_Model!$B$14:$F$14</definedName>
    <definedName name="RS2_num_accounts_currentyear">Inputs!$A$26:$A$26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2" l="1"/>
  <c r="D19" i="2"/>
  <c r="E19" i="2"/>
  <c r="F19" i="2"/>
  <c r="B19" i="2"/>
  <c r="C10" i="2"/>
  <c r="D10" i="2"/>
  <c r="E10" i="2"/>
  <c r="F10" i="2"/>
  <c r="B10" i="2"/>
  <c r="B15" i="2" a="1"/>
  <c r="B15" i="2"/>
  <c r="B6" i="2" a="1"/>
  <c r="B6" i="2"/>
  <c r="F16" i="2" a="1"/>
  <c r="F16" i="2"/>
  <c r="E16" i="2" a="1"/>
  <c r="E16" i="2"/>
  <c r="D16" i="2" a="1"/>
  <c r="D16" i="2"/>
  <c r="C16" i="2" a="1"/>
  <c r="C16" i="2"/>
  <c r="B16" i="2" a="1"/>
  <c r="B16" i="2"/>
  <c r="F7" i="2" a="1"/>
  <c r="F7" i="2"/>
  <c r="E7" i="2" a="1"/>
  <c r="E7" i="2"/>
  <c r="D7" i="2" a="1"/>
  <c r="D7" i="2"/>
  <c r="C7" i="2" a="1"/>
  <c r="C7" i="2"/>
  <c r="B7" i="2" a="1"/>
  <c r="B7" i="2"/>
  <c r="D14" i="2" a="1"/>
  <c r="D14" i="2"/>
  <c r="E14" i="2" a="1"/>
  <c r="E14" i="2"/>
  <c r="F14" i="2" a="1"/>
  <c r="F14" i="2"/>
  <c r="C14" i="2" a="1"/>
  <c r="C14" i="2"/>
  <c r="B14" i="2" a="1"/>
  <c r="B14" i="2"/>
  <c r="D5" i="2" a="1"/>
  <c r="D5" i="2"/>
  <c r="E5" i="2" a="1"/>
  <c r="E5" i="2"/>
  <c r="F5" i="2" a="1"/>
  <c r="F5" i="2"/>
  <c r="C5" i="2" a="1"/>
  <c r="C5" i="2"/>
  <c r="B5" i="2" a="1"/>
  <c r="B5" i="2"/>
  <c r="C13" i="2"/>
  <c r="D13" i="2" s="1"/>
  <c r="E13" i="2" s="1"/>
  <c r="F13" i="2" s="1"/>
  <c r="C4" i="2"/>
  <c r="D4" i="2" s="1"/>
  <c r="E4" i="2" s="1"/>
  <c r="F4" i="2" s="1"/>
  <c r="P14" i="1"/>
  <c r="P15" i="1" s="1"/>
  <c r="P16" i="1" s="1"/>
  <c r="P17" i="1" s="1"/>
  <c r="I18" i="1" a="1"/>
  <c r="I18" i="1"/>
  <c r="I13" i="1" a="1"/>
  <c r="I13" i="1"/>
  <c r="D11" i="1"/>
  <c r="E11" i="1" s="1"/>
  <c r="F11" i="1" s="1"/>
  <c r="G1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<sst xmlns="http://schemas.openxmlformats.org/spreadsheetml/2006/main" count="68" uniqueCount="45">
  <si>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</si>
  <si>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</si>
  <si>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</si>
  <si>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</si>
  <si>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</si>
  <si>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</si>
  <si>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</si>
  <si>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</si>
  <si>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</si>
  <si>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</si>
  <si>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</si>
  <si>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Rate Structure(s)</t>
  </si>
  <si>
    <t>Year:</t>
  </si>
  <si>
    <t>Monthly Consumption Over Included Amount</t>
  </si>
  <si>
    <t>Annual Operating Expenses</t>
  </si>
  <si>
    <t>Annual Debt Service</t>
  </si>
  <si>
    <t>Rate Structure 1:</t>
  </si>
  <si>
    <t>Salaries</t>
  </si>
  <si>
    <t>Year</t>
  </si>
  <si>
    <t>Block 1:</t>
  </si>
  <si>
    <t>*In gallons/month, excluding included amount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</si>
  <si>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</si>
  <si>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</si>
  <si>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</si>
  <si>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</si>
  <si>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</si>
  <si>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</si>
  <si>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</si>
  <si>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</si>
  <si>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</si>
  <si>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</si>
  <si>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</si>
  <si>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</si>
  <si>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</si>
  <si>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</si>
  <si>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</si>
  <si>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</si>
  <si>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Residential water, outside</t>
  </si>
  <si>
    <t>Revenue Projections | 2026-2030</t>
  </si>
  <si>
    <t>Number of Accounts</t>
  </si>
  <si>
    <t>Base Charge Revenue</t>
  </si>
  <si>
    <t>Block 1 Revenue</t>
  </si>
  <si>
    <t>Block 2 Revenue</t>
  </si>
  <si>
    <t>Block 3 Revenue</t>
  </si>
  <si>
    <t>Total Operating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</si>
</sst>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8" formatCode="&quot;$&quot;#,##0"/>
  </numFmts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0" xfId="0" applyFont="1" applyFill="1" applyAlignment="1">
      <alignment vertical="top"/>
    </xf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0" fontId="1" fillId="2" borderId="0" xfId="0" applyFont="1" applyFill="1" applyAlignment="1">
      <alignment horizontal="right" vertical="center"/>
    </xf>
    <xf numFmtId="6" fontId="0" fillId="3" borderId="1" xfId="0" applyNumberFormat="1" applyFon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3" fillId="2" borderId="0" xfId="0" applyFont="1" applyFill="1" applyAlignment="1">
      <alignment horizontal="center" wrapText="1"/>
    </xf>
    <xf numFmtId="0" fontId="6" fillId="4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0" fontId="7" fillId="4" borderId="0" xfId="0" applyFont="1" applyFill="1" applyAlignment="1">
      <alignment horizontal="center"/>
    </xf>
    <xf numFmtId="8" fontId="5" fillId="3" borderId="1" xfId="0" applyNumberFormat="1" applyFont="1" applyFill="1" applyBorder="1"/>
    <xf numFmtId="3" fontId="5" fillId="3" borderId="1" xfId="0" applyNumberFormat="1" applyFont="1" applyFill="1" applyBorder="1"/>
    <xf numFmtId="168" fontId="5" fillId="3" borderId="1" xfId="0" applyNumberFormat="1" applyFont="1" applyFill="1" applyBorder="1"/>
    <xf numFmtId="6" fontId="5" fillId="3" borderId="1" xfId="0" applyNumberFormat="1" applyFont="1" applyFill="1" applyBorder="1"/>
    <xf numFmtId="8" fontId="8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opLeftCell="A9" workbookViewId="0">
      <selection activeCell="B25" sqref="B25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1" max="11" width="10.5703125" bestFit="1" customWidth="1"/>
    <col min="12" max="12" width="36.5703125" bestFit="1" customWidth="1"/>
    <col min="13" max="13" width="26.85546875" bestFit="1" customWidth="1"/>
    <col min="14" max="14" width="11.7109375" bestFit="1" customWidth="1"/>
    <col min="16" max="16" width="20" bestFit="1" customWidth="1"/>
    <col min="17" max="17" width="11.7109375" bestFit="1" customWidth="1"/>
  </cols>
  <sheetData>
    <row r="1" spans="1:95" ht="21">
      <c r="A1" s="48" t="s">
        <v>0</v>
      </c>
      <c r="B1" s="4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</row>
    <row r="2" spans="1:95">
      <c r="A2" s="49" t="s">
        <v>1</v>
      </c>
      <c r="B2" s="4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  <c r="CP2" s="29"/>
      <c r="CQ2" s="29"/>
    </row>
    <row r="3" spans="1:95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</row>
    <row r="4" spans="1:95" ht="22.5" customHeight="1">
      <c r="A4" s="50" t="s">
        <v>2</v>
      </c>
      <c r="B4" s="50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</row>
    <row r="5" spans="1:9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</row>
    <row r="6" spans="1:95" ht="15.75">
      <c r="A6" s="28" t="s">
        <v>3</v>
      </c>
      <c r="B6" s="26" t="s">
        <v>4</v>
      </c>
      <c r="C6" s="29"/>
      <c r="D6" s="8" t="s">
        <v>5</v>
      </c>
      <c r="E6" s="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</row>
    <row r="7" spans="1:95" ht="15.75">
      <c r="A7" s="28" t="s">
        <v>6</v>
      </c>
      <c r="B7" s="26"/>
      <c r="C7" s="29"/>
      <c r="D7" s="6" t="s">
        <v>7</v>
      </c>
      <c r="E7" s="23">
        <v>0.03</v>
      </c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</row>
    <row r="8" spans="1:95" ht="15.75">
      <c r="A8" s="28" t="s">
        <v>8</v>
      </c>
      <c r="B8" s="26">
        <v>1</v>
      </c>
      <c r="C8" s="29"/>
      <c r="D8" s="7" t="s">
        <v>9</v>
      </c>
      <c r="E8" s="23">
        <v>0.01</v>
      </c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</row>
    <row r="9" spans="1:95" ht="15.75">
      <c r="A9" s="28" t="s">
        <v>10</v>
      </c>
      <c r="B9" s="26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</row>
    <row r="10" spans="1:95" ht="32.2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</row>
    <row r="11" spans="1:95" ht="15.75">
      <c r="A11" s="10" t="s">
        <v>11</v>
      </c>
      <c r="B11" s="11" t="s">
        <v>12</v>
      </c>
      <c r="C11" s="13">
        <v>2026</v>
      </c>
      <c r="D11" s="11">
        <f>C11+1</f>
        <v>2027</v>
      </c>
      <c r="E11" s="11">
        <f t="shared" ref="E11:G11" si="0">D11+1</f>
        <v>2028</v>
      </c>
      <c r="F11" s="11">
        <f t="shared" si="0"/>
        <v>2029</v>
      </c>
      <c r="G11" s="12">
        <f t="shared" si="0"/>
        <v>2030</v>
      </c>
      <c r="H11" s="29"/>
      <c r="I11" s="47" t="s">
        <v>13</v>
      </c>
      <c r="J11" s="47"/>
      <c r="K11" s="47"/>
      <c r="L11" s="29"/>
      <c r="M11" s="39" t="s">
        <v>14</v>
      </c>
      <c r="N11" s="24">
        <v>2026</v>
      </c>
      <c r="O11" s="29"/>
      <c r="P11" s="39" t="s">
        <v>15</v>
      </c>
      <c r="Q11" s="3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</row>
    <row r="12" spans="1:95">
      <c r="A12" s="30"/>
      <c r="B12" s="31"/>
      <c r="C12" s="31"/>
      <c r="D12" s="31"/>
      <c r="E12" s="31"/>
      <c r="F12" s="31"/>
      <c r="G12" s="33"/>
      <c r="H12" s="29"/>
      <c r="I12" s="3" t="s">
        <v>16</v>
      </c>
      <c r="J12" s="3"/>
      <c r="K12" s="2"/>
      <c r="L12" s="29"/>
      <c r="M12" s="3" t="s">
        <v>17</v>
      </c>
      <c r="N12" s="40">
        <v>500000</v>
      </c>
      <c r="O12" s="29"/>
      <c r="P12" s="43" t="s">
        <v>18</v>
      </c>
      <c r="Q12" s="3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</row>
    <row r="13" spans="1:95" ht="30.75">
      <c r="A13" s="14" t="s">
        <v>16</v>
      </c>
      <c r="B13" s="21"/>
      <c r="C13" s="17"/>
      <c r="D13" s="17"/>
      <c r="E13" s="17"/>
      <c r="F13" s="17"/>
      <c r="G13" s="18"/>
      <c r="H13" s="29"/>
      <c r="I13" s="34" t="str" cm="1">
        <f t="array" ref="I13">rate_structure_1</f>
        <v>Residential water, inside</v>
      </c>
      <c r="J13" s="24" t="s">
        <v>19</v>
      </c>
      <c r="K13" s="38">
        <v>200000</v>
      </c>
      <c r="L13" s="1" t="s">
        <v>20</v>
      </c>
      <c r="M13" s="3" t="s">
        <v>21</v>
      </c>
      <c r="N13" s="40">
        <v>100000</v>
      </c>
      <c r="O13" s="29"/>
      <c r="P13" s="3">
        <v>2026</v>
      </c>
      <c r="Q13" s="44">
        <v>155000</v>
      </c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95">
      <c r="A14" s="22" t="s">
        <v>22</v>
      </c>
      <c r="B14" s="24" t="s">
        <v>23</v>
      </c>
      <c r="C14" s="42">
        <v>22</v>
      </c>
      <c r="D14" s="45">
        <v>25</v>
      </c>
      <c r="E14" s="42">
        <v>25</v>
      </c>
      <c r="F14" s="42">
        <v>25</v>
      </c>
      <c r="G14" s="42">
        <v>25</v>
      </c>
      <c r="H14" s="29"/>
      <c r="I14" s="3"/>
      <c r="J14" s="24" t="s">
        <v>24</v>
      </c>
      <c r="K14" s="38">
        <v>25000</v>
      </c>
      <c r="L14" s="29"/>
      <c r="M14" s="3" t="s">
        <v>25</v>
      </c>
      <c r="N14" s="41">
        <v>65000</v>
      </c>
      <c r="O14" s="29"/>
      <c r="P14" s="3">
        <f>P13+1</f>
        <v>2027</v>
      </c>
      <c r="Q14" s="44">
        <v>155000</v>
      </c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</row>
    <row r="15" spans="1:95" ht="30.75">
      <c r="A15" s="5" t="s">
        <v>8</v>
      </c>
      <c r="B15" s="25" t="s">
        <v>26</v>
      </c>
      <c r="C15" s="38">
        <v>2000</v>
      </c>
      <c r="D15" s="46">
        <v>2000</v>
      </c>
      <c r="E15" s="38">
        <v>2000</v>
      </c>
      <c r="F15" s="38">
        <v>2000</v>
      </c>
      <c r="G15" s="38">
        <v>2000</v>
      </c>
      <c r="H15" s="29"/>
      <c r="I15" s="3"/>
      <c r="J15" s="24" t="s">
        <v>27</v>
      </c>
      <c r="K15" s="38">
        <v>0</v>
      </c>
      <c r="L15" s="29"/>
      <c r="M15" s="3" t="s">
        <v>28</v>
      </c>
      <c r="N15" s="40">
        <v>85000</v>
      </c>
      <c r="O15" s="29"/>
      <c r="P15" s="3">
        <f>P14+1</f>
        <v>2028</v>
      </c>
      <c r="Q15" s="44">
        <v>165000</v>
      </c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</row>
    <row r="16" spans="1:95">
      <c r="A16" s="51">
        <v>1000</v>
      </c>
      <c r="B16" s="36"/>
      <c r="C16" s="36"/>
      <c r="D16" s="15"/>
      <c r="E16" s="15"/>
      <c r="F16" s="15"/>
      <c r="G16" s="19"/>
      <c r="H16" s="29"/>
      <c r="I16" s="29"/>
      <c r="J16" s="29"/>
      <c r="K16" s="29"/>
      <c r="L16" s="29"/>
      <c r="M16" s="3" t="s">
        <v>29</v>
      </c>
      <c r="N16" s="40">
        <v>74000</v>
      </c>
      <c r="O16" s="29"/>
      <c r="P16" s="3">
        <f t="shared" ref="P16:P18" si="1">P15+1</f>
        <v>2029</v>
      </c>
      <c r="Q16" s="44">
        <v>165000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</row>
    <row r="17" spans="1:95">
      <c r="A17" s="35"/>
      <c r="B17" s="36"/>
      <c r="C17" s="36"/>
      <c r="D17" s="15"/>
      <c r="E17" s="15"/>
      <c r="F17" s="15"/>
      <c r="G17" s="19"/>
      <c r="H17" s="29"/>
      <c r="I17" s="3" t="s">
        <v>30</v>
      </c>
      <c r="J17" s="3"/>
      <c r="K17" s="2"/>
      <c r="L17" s="29"/>
      <c r="M17" s="3" t="s">
        <v>31</v>
      </c>
      <c r="N17" s="40">
        <v>200000</v>
      </c>
      <c r="O17" s="29"/>
      <c r="P17" s="3">
        <f t="shared" si="1"/>
        <v>2030</v>
      </c>
      <c r="Q17" s="44">
        <v>165000</v>
      </c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</row>
    <row r="18" spans="1:95">
      <c r="A18" s="35" t="s">
        <v>32</v>
      </c>
      <c r="B18" s="37"/>
      <c r="C18" s="37"/>
      <c r="D18" s="15"/>
      <c r="E18" s="15"/>
      <c r="F18" s="15"/>
      <c r="G18" s="19"/>
      <c r="H18" s="29"/>
      <c r="I18" s="3" t="str" cm="1">
        <f t="array" ref="I18">rate_structure_2</f>
        <v>Residential water, outside</v>
      </c>
      <c r="J18" s="24" t="s">
        <v>19</v>
      </c>
      <c r="K18" s="38">
        <v>72000</v>
      </c>
      <c r="L18" s="29"/>
      <c r="M18" s="3" t="s">
        <v>33</v>
      </c>
      <c r="N18" s="40">
        <v>96000</v>
      </c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</row>
    <row r="19" spans="1:95">
      <c r="A19" s="16">
        <v>3000</v>
      </c>
      <c r="B19" s="24" t="s">
        <v>34</v>
      </c>
      <c r="C19" s="42">
        <v>2</v>
      </c>
      <c r="D19" s="45">
        <v>1.5</v>
      </c>
      <c r="E19" s="42">
        <v>1.75</v>
      </c>
      <c r="F19" s="42">
        <v>1.75</v>
      </c>
      <c r="G19" s="42">
        <v>2</v>
      </c>
      <c r="H19" s="29"/>
      <c r="I19" s="3"/>
      <c r="J19" s="24" t="s">
        <v>24</v>
      </c>
      <c r="K19" s="38">
        <v>20000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</row>
    <row r="20" spans="1:95">
      <c r="A20" s="27">
        <v>4000</v>
      </c>
      <c r="B20" s="24" t="s">
        <v>35</v>
      </c>
      <c r="C20" s="42">
        <v>2</v>
      </c>
      <c r="D20" s="45">
        <v>2.25</v>
      </c>
      <c r="E20" s="42">
        <v>2.5</v>
      </c>
      <c r="F20" s="42">
        <v>2.5</v>
      </c>
      <c r="G20" s="42">
        <v>2.75</v>
      </c>
      <c r="H20" s="29"/>
      <c r="I20" s="3"/>
      <c r="J20" s="24" t="s">
        <v>27</v>
      </c>
      <c r="K20" s="38">
        <v>0</v>
      </c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</row>
    <row r="21" spans="1:95">
      <c r="A21" s="27">
        <v>5000</v>
      </c>
      <c r="B21" s="24" t="s">
        <v>36</v>
      </c>
      <c r="C21" s="42">
        <v>2</v>
      </c>
      <c r="D21" s="45">
        <v>3.5</v>
      </c>
      <c r="E21" s="42">
        <v>3.75</v>
      </c>
      <c r="F21" s="42">
        <v>3.75</v>
      </c>
      <c r="G21" s="42">
        <v>4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</row>
    <row r="22" spans="1:95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</row>
    <row r="23" spans="1:95">
      <c r="A23" s="14" t="s">
        <v>30</v>
      </c>
      <c r="B23" s="20"/>
      <c r="C23" s="17"/>
      <c r="D23" s="17"/>
      <c r="E23" s="17"/>
      <c r="F23" s="17"/>
      <c r="G23" s="18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</row>
    <row r="24" spans="1:95">
      <c r="A24" s="22" t="s">
        <v>37</v>
      </c>
      <c r="B24" s="24" t="s">
        <v>23</v>
      </c>
      <c r="C24" s="42">
        <v>25</v>
      </c>
      <c r="D24" s="45">
        <v>30</v>
      </c>
      <c r="E24" s="42">
        <v>30</v>
      </c>
      <c r="F24" s="42">
        <v>30</v>
      </c>
      <c r="G24" s="42">
        <v>32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29"/>
      <c r="CG24" s="29"/>
      <c r="CH24" s="29"/>
      <c r="CI24" s="29"/>
      <c r="CJ24" s="29"/>
      <c r="CK24" s="29"/>
      <c r="CL24" s="29"/>
      <c r="CM24" s="29"/>
      <c r="CN24" s="29"/>
      <c r="CO24" s="29"/>
      <c r="CP24" s="29"/>
      <c r="CQ24" s="29"/>
    </row>
    <row r="25" spans="1:95" ht="30.75">
      <c r="A25" s="5" t="s">
        <v>8</v>
      </c>
      <c r="B25" s="25" t="s">
        <v>26</v>
      </c>
      <c r="C25" s="4">
        <v>0</v>
      </c>
      <c r="D25" s="26">
        <v>0</v>
      </c>
      <c r="E25" s="4">
        <v>0</v>
      </c>
      <c r="F25" s="4">
        <v>0</v>
      </c>
      <c r="G25" s="4">
        <v>0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</row>
    <row r="26" spans="1:95">
      <c r="A26" s="51">
        <v>120</v>
      </c>
      <c r="B26" s="36"/>
      <c r="C26" s="36"/>
      <c r="D26" s="15"/>
      <c r="E26" s="15"/>
      <c r="F26" s="15"/>
      <c r="G26" s="1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</row>
    <row r="27" spans="1:95">
      <c r="A27" s="35"/>
      <c r="B27" s="36"/>
      <c r="C27" s="36"/>
      <c r="D27" s="15"/>
      <c r="E27" s="15"/>
      <c r="F27" s="15"/>
      <c r="G27" s="1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</row>
    <row r="28" spans="1:95">
      <c r="A28" s="35" t="s">
        <v>32</v>
      </c>
      <c r="B28" s="37"/>
      <c r="C28" s="37"/>
      <c r="D28" s="15"/>
      <c r="E28" s="15"/>
      <c r="F28" s="15"/>
      <c r="G28" s="1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</row>
    <row r="29" spans="1:95">
      <c r="A29" s="16">
        <v>5000</v>
      </c>
      <c r="B29" s="24" t="s">
        <v>34</v>
      </c>
      <c r="C29" s="45">
        <v>3</v>
      </c>
      <c r="D29" s="42">
        <v>2.5</v>
      </c>
      <c r="E29" s="42">
        <v>3.75</v>
      </c>
      <c r="F29" s="42">
        <v>3.75</v>
      </c>
      <c r="G29" s="42">
        <v>4</v>
      </c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</row>
    <row r="30" spans="1:95">
      <c r="A30" s="27">
        <v>10000</v>
      </c>
      <c r="B30" s="24" t="s">
        <v>35</v>
      </c>
      <c r="C30" s="45">
        <v>3</v>
      </c>
      <c r="D30" s="42">
        <v>3.25</v>
      </c>
      <c r="E30" s="42">
        <v>3.5</v>
      </c>
      <c r="F30" s="42">
        <v>3.5</v>
      </c>
      <c r="G30" s="42">
        <v>3.75</v>
      </c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</row>
    <row r="31" spans="1:95">
      <c r="A31" s="27"/>
      <c r="B31" s="24" t="s">
        <v>36</v>
      </c>
      <c r="C31" s="45"/>
      <c r="D31" s="42"/>
      <c r="E31" s="42"/>
      <c r="F31" s="42"/>
      <c r="G31" s="42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</row>
    <row r="32" spans="1:9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12">
      <c r="A33" s="3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spans="1:1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</row>
  </sheetData>
  <mergeCells count="4">
    <mergeCell ref="I11:K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L37"/>
  <sheetViews>
    <sheetView tabSelected="1" workbookViewId="0">
      <selection activeCell="A19" sqref="A19:F19"/>
    </sheetView>
  </sheetViews>
  <sheetFormatPr defaultRowHeight="15"/>
  <cols>
    <col min="1" max="1" width="30" bestFit="1" customWidth="1"/>
    <col min="2" max="2" width="11.7109375" bestFit="1" customWidth="1"/>
    <col min="3" max="3" width="13.140625" customWidth="1"/>
    <col min="4" max="6" width="11.7109375" bestFit="1" customWidth="1"/>
  </cols>
  <sheetData>
    <row r="1" spans="1:12" ht="18.75">
      <c r="A1" s="53" t="s">
        <v>38</v>
      </c>
      <c r="B1" s="53"/>
      <c r="C1" s="53"/>
      <c r="D1" s="53"/>
      <c r="E1" s="53"/>
      <c r="F1" s="29"/>
      <c r="G1" s="29"/>
      <c r="H1" s="29"/>
      <c r="I1" s="29"/>
      <c r="J1" s="29"/>
      <c r="K1" s="29"/>
      <c r="L1" s="29"/>
    </row>
    <row r="2" spans="1:1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>
      <c r="A3" s="52" t="s">
        <v>16</v>
      </c>
      <c r="B3" s="3"/>
      <c r="C3" s="3"/>
      <c r="D3" s="3"/>
      <c r="E3" s="3"/>
      <c r="F3" s="3"/>
      <c r="G3" s="29"/>
      <c r="H3" s="29"/>
      <c r="I3" s="29"/>
      <c r="J3" s="29"/>
      <c r="K3" s="29"/>
      <c r="L3" s="29"/>
    </row>
    <row r="4" spans="1:12">
      <c r="A4" s="3" t="s">
        <v>18</v>
      </c>
      <c r="B4" s="3">
        <v>2026</v>
      </c>
      <c r="C4" s="3">
        <f>B4+1</f>
        <v>2027</v>
      </c>
      <c r="D4" s="3">
        <f t="shared" ref="D4:F4" si="0">C4+1</f>
        <v>2028</v>
      </c>
      <c r="E4" s="3">
        <f t="shared" si="0"/>
        <v>2029</v>
      </c>
      <c r="F4" s="3">
        <f t="shared" si="0"/>
        <v>2030</v>
      </c>
      <c r="G4" s="29"/>
      <c r="H4" s="29"/>
      <c r="I4" s="29"/>
      <c r="J4" s="29"/>
      <c r="K4" s="29"/>
      <c r="L4" s="29"/>
    </row>
    <row r="5" spans="1:12">
      <c r="A5" s="3" t="s">
        <v>39</v>
      </c>
      <c r="B5" s="55" cm="1">
        <f t="array" ref="B5">num_accountsRS1</f>
        <v>1000</v>
      </c>
      <c r="C5" s="55" cm="1">
        <f t="array" ref="C5">ROUND(B5*(1+pop_growth_rate),0)</f>
        <v>1010</v>
      </c>
      <c r="D5" s="55" cm="1">
        <f t="array" ref="D5">ROUND(C5*(1+pop_growth_rate),0)</f>
        <v>1020</v>
      </c>
      <c r="E5" s="55" cm="1">
        <f t="array" ref="E5">ROUND(D5*(1+pop_growth_rate),0)</f>
        <v>1030</v>
      </c>
      <c r="F5" s="55" cm="1">
        <f t="array" ref="F5">ROUND(E5*(1+pop_growth_rate),0)</f>
        <v>1040</v>
      </c>
      <c r="G5" s="29"/>
      <c r="H5" s="29"/>
      <c r="I5" s="29"/>
      <c r="J5" s="29"/>
      <c r="K5" s="29"/>
      <c r="L5" s="29"/>
    </row>
    <row r="6" spans="1:12">
      <c r="A6" s="3" t="s">
        <v>40</v>
      </c>
      <c r="B6" s="54" cm="1">
        <f t="array" ref="B6:F6">base_chargeRS1 * 12 * RS1_num_accounts</f>
        <v>264000</v>
      </c>
      <c r="C6" s="54">
        <v>303000</v>
      </c>
      <c r="D6" s="54">
        <v>306000</v>
      </c>
      <c r="E6" s="54">
        <v>309000</v>
      </c>
      <c r="F6" s="54">
        <v>312000</v>
      </c>
      <c r="G6" s="29"/>
      <c r="H6" s="29"/>
      <c r="I6" s="29"/>
      <c r="J6" s="29"/>
      <c r="K6" s="29"/>
      <c r="L6" s="29"/>
    </row>
    <row r="7" spans="1:12">
      <c r="A7" s="3" t="s">
        <v>41</v>
      </c>
      <c r="B7" s="57" cm="1">
        <f t="array" ref="B7:B9">RS1_block_consumption * RS1_vrates2026</f>
        <v>400000</v>
      </c>
      <c r="C7" s="57" cm="1">
        <f t="array" ref="C7:C9">RS1_block_consumption * RS1_vrates2027</f>
        <v>300000</v>
      </c>
      <c r="D7" s="57" cm="1">
        <f t="array" ref="D7:D9">RS1_block_consumption * RS1_vrates2028</f>
        <v>350000</v>
      </c>
      <c r="E7" s="57" cm="1">
        <f t="array" ref="E7:E9">RS1_block_consumption * RS1_vrates2029</f>
        <v>350000</v>
      </c>
      <c r="F7" s="57" cm="1">
        <f t="array" ref="F7:F9">RS1_block_consumption * RS1_vrates2030</f>
        <v>400000</v>
      </c>
      <c r="G7" s="29"/>
      <c r="H7" s="29"/>
      <c r="I7" s="29"/>
      <c r="J7" s="29"/>
      <c r="K7" s="29"/>
      <c r="L7" s="29"/>
    </row>
    <row r="8" spans="1:12">
      <c r="A8" s="3" t="s">
        <v>42</v>
      </c>
      <c r="B8" s="57">
        <v>50000</v>
      </c>
      <c r="C8" s="57">
        <v>56250</v>
      </c>
      <c r="D8" s="57">
        <v>62500</v>
      </c>
      <c r="E8" s="57">
        <v>62500</v>
      </c>
      <c r="F8" s="57">
        <v>68750</v>
      </c>
      <c r="G8" s="29"/>
      <c r="H8" s="29"/>
      <c r="I8" s="29"/>
      <c r="J8" s="29"/>
      <c r="K8" s="29"/>
      <c r="L8" s="29"/>
    </row>
    <row r="9" spans="1:12">
      <c r="A9" s="3" t="s">
        <v>43</v>
      </c>
      <c r="B9" s="57">
        <v>0</v>
      </c>
      <c r="C9" s="57">
        <v>0</v>
      </c>
      <c r="D9" s="57">
        <v>0</v>
      </c>
      <c r="E9" s="57">
        <v>0</v>
      </c>
      <c r="F9" s="57">
        <v>0</v>
      </c>
      <c r="G9" s="29"/>
      <c r="H9" s="29"/>
      <c r="I9" s="29"/>
      <c r="J9" s="29"/>
      <c r="K9" s="29"/>
      <c r="L9" s="29"/>
    </row>
    <row r="10" spans="1:12">
      <c r="A10" s="52" t="s">
        <v>44</v>
      </c>
      <c r="B10" s="58">
        <f>SUM(B6:B9)</f>
        <v>714000</v>
      </c>
      <c r="C10" s="58">
        <f t="shared" ref="C10:F10" si="1">SUM(C6:C9)</f>
        <v>659250</v>
      </c>
      <c r="D10" s="58">
        <f t="shared" si="1"/>
        <v>718500</v>
      </c>
      <c r="E10" s="58">
        <f t="shared" si="1"/>
        <v>721500</v>
      </c>
      <c r="F10" s="58">
        <f t="shared" si="1"/>
        <v>780750</v>
      </c>
      <c r="G10" s="29"/>
      <c r="H10" s="29"/>
      <c r="I10" s="29"/>
      <c r="J10" s="29"/>
      <c r="K10" s="29"/>
      <c r="L10" s="29"/>
    </row>
    <row r="11" spans="1:12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spans="1:12">
      <c r="A12" s="52" t="s">
        <v>30</v>
      </c>
      <c r="B12" s="3"/>
      <c r="C12" s="3"/>
      <c r="D12" s="3"/>
      <c r="E12" s="3"/>
      <c r="F12" s="3"/>
      <c r="G12" s="29"/>
      <c r="H12" s="29"/>
      <c r="I12" s="29"/>
      <c r="J12" s="29"/>
      <c r="K12" s="29"/>
      <c r="L12" s="29"/>
    </row>
    <row r="13" spans="1:12">
      <c r="A13" s="3" t="s">
        <v>18</v>
      </c>
      <c r="B13" s="3">
        <v>2026</v>
      </c>
      <c r="C13" s="3">
        <f>B13+1</f>
        <v>2027</v>
      </c>
      <c r="D13" s="3">
        <f t="shared" ref="D13:F13" si="2">C13+1</f>
        <v>2028</v>
      </c>
      <c r="E13" s="3">
        <f t="shared" si="2"/>
        <v>2029</v>
      </c>
      <c r="F13" s="3">
        <f t="shared" si="2"/>
        <v>2030</v>
      </c>
      <c r="G13" s="29"/>
      <c r="H13" s="29"/>
      <c r="I13" s="29"/>
      <c r="J13" s="29"/>
      <c r="K13" s="29"/>
      <c r="L13" s="29"/>
    </row>
    <row r="14" spans="1:12">
      <c r="A14" s="3" t="s">
        <v>39</v>
      </c>
      <c r="B14" s="55" cm="1">
        <f t="array" ref="B14">num_accountsRS2</f>
        <v>120</v>
      </c>
      <c r="C14" s="55" cm="1">
        <f t="array" ref="C14">ROUND(B14*(1+pop_growth_rate),0)</f>
        <v>121</v>
      </c>
      <c r="D14" s="55" cm="1">
        <f t="array" ref="D14">ROUND(C14*(1+pop_growth_rate),0)</f>
        <v>122</v>
      </c>
      <c r="E14" s="55" cm="1">
        <f t="array" ref="E14">ROUND(D14*(1+pop_growth_rate),0)</f>
        <v>123</v>
      </c>
      <c r="F14" s="55" cm="1">
        <f t="array" ref="F14">ROUND(E14*(1+pop_growth_rate),0)</f>
        <v>124</v>
      </c>
      <c r="G14" s="29"/>
      <c r="H14" s="29"/>
      <c r="I14" s="29"/>
      <c r="J14" s="29"/>
      <c r="K14" s="29"/>
      <c r="L14" s="29"/>
    </row>
    <row r="15" spans="1:12">
      <c r="A15" s="3" t="s">
        <v>40</v>
      </c>
      <c r="B15" s="54" cm="1">
        <f t="array" ref="B15:F15">base_chargeRS2 * 12 * RS2_num_accounts</f>
        <v>36000</v>
      </c>
      <c r="C15" s="54">
        <v>43560</v>
      </c>
      <c r="D15" s="54">
        <v>43920</v>
      </c>
      <c r="E15" s="54">
        <v>44280</v>
      </c>
      <c r="F15" s="54">
        <v>47616</v>
      </c>
      <c r="G15" s="29"/>
      <c r="H15" s="29"/>
      <c r="I15" s="29"/>
      <c r="J15" s="29"/>
      <c r="K15" s="29"/>
      <c r="L15" s="29"/>
    </row>
    <row r="16" spans="1:12">
      <c r="A16" s="3" t="s">
        <v>41</v>
      </c>
      <c r="B16" s="56" cm="1">
        <f t="array" ref="B16:B18">RS2_block_consumption * RS1_vrates2026</f>
        <v>144000</v>
      </c>
      <c r="C16" s="56" cm="1">
        <f t="array" ref="C16:C18">RS2_block_consumption * RS1_vrates2027</f>
        <v>108000</v>
      </c>
      <c r="D16" s="56" cm="1">
        <f t="array" ref="D16:D18">RS2_block_consumption * RS1_vrates2028</f>
        <v>126000</v>
      </c>
      <c r="E16" s="56" cm="1">
        <f t="array" ref="E16:E18">RS2_block_consumption * RS1_vrates2029</f>
        <v>126000</v>
      </c>
      <c r="F16" s="56" cm="1">
        <f t="array" ref="F16:F18">RS2_block_consumption * RS1_vrates2030</f>
        <v>144000</v>
      </c>
      <c r="G16" s="29"/>
      <c r="H16" s="29"/>
      <c r="I16" s="29"/>
      <c r="J16" s="29"/>
      <c r="K16" s="29"/>
      <c r="L16" s="29"/>
    </row>
    <row r="17" spans="1:12">
      <c r="A17" s="3" t="s">
        <v>42</v>
      </c>
      <c r="B17" s="56">
        <v>40000</v>
      </c>
      <c r="C17" s="56">
        <v>45000</v>
      </c>
      <c r="D17" s="56">
        <v>50000</v>
      </c>
      <c r="E17" s="56">
        <v>50000</v>
      </c>
      <c r="F17" s="56">
        <v>55000</v>
      </c>
      <c r="G17" s="29"/>
      <c r="H17" s="29"/>
      <c r="I17" s="29"/>
      <c r="J17" s="29"/>
      <c r="K17" s="29"/>
      <c r="L17" s="29"/>
    </row>
    <row r="18" spans="1:12">
      <c r="A18" s="3" t="s">
        <v>43</v>
      </c>
      <c r="B18" s="56">
        <v>0</v>
      </c>
      <c r="C18" s="56">
        <v>0</v>
      </c>
      <c r="D18" s="56">
        <v>0</v>
      </c>
      <c r="E18" s="56">
        <v>0</v>
      </c>
      <c r="F18" s="56">
        <v>0</v>
      </c>
      <c r="G18" s="29"/>
      <c r="H18" s="29"/>
      <c r="I18" s="29"/>
      <c r="J18" s="29"/>
      <c r="K18" s="29"/>
      <c r="L18" s="29"/>
    </row>
    <row r="19" spans="1:12">
      <c r="A19" s="52" t="s">
        <v>44</v>
      </c>
      <c r="B19" s="58">
        <f>SUM(B15:B18)</f>
        <v>220000</v>
      </c>
      <c r="C19" s="58">
        <f t="shared" ref="C19:F19" si="3">SUM(C15:C18)</f>
        <v>196560</v>
      </c>
      <c r="D19" s="58">
        <f t="shared" si="3"/>
        <v>219920</v>
      </c>
      <c r="E19" s="58">
        <f t="shared" si="3"/>
        <v>220280</v>
      </c>
      <c r="F19" s="58">
        <f t="shared" si="3"/>
        <v>246616</v>
      </c>
      <c r="G19" s="29"/>
      <c r="H19" s="29"/>
      <c r="I19" s="29"/>
      <c r="J19" s="29"/>
      <c r="K19" s="29"/>
      <c r="L19" s="29"/>
    </row>
    <row r="20" spans="1:12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</row>
    <row r="21" spans="1:12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</row>
    <row r="22" spans="1:1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</row>
    <row r="23" spans="1:1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</row>
    <row r="24" spans="1:12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</row>
    <row r="25" spans="1:12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</row>
    <row r="26" spans="1:12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</row>
    <row r="27" spans="1:12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</row>
    <row r="28" spans="1:12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</row>
    <row r="29" spans="1:12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0" spans="1:12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</row>
    <row r="31" spans="1:12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2" spans="1:1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1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spans="1:1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</row>
    <row r="35" spans="1:1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</row>
    <row r="36" spans="1:1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</row>
    <row r="37" spans="1:12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"/>
  <sheetViews>
    <sheetView workbookViewId="0">
      <selection activeCell="F24" sqref="F24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2026-05-29T19:40:28Z</dcterms:modified>
  <cp:category/>
  <cp:contentStatus/>
</cp:coreProperties>
</file>